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50" windowHeight="12040"/>
  </bookViews>
  <sheets>
    <sheet name="模板-考勤情况" sheetId="3" r:id="rId1"/>
  </sheets>
  <definedNames>
    <definedName name="_xlnm.Print_Area" localSheetId="0">'模板-考勤情况'!#REF!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<sst xmlns="http://schemas.openxmlformats.org/spreadsheetml/2006/main" count="48" uniqueCount="48">
  <si>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编号</t>
  </si>
  <si>
    <t>课程名称</t>
  </si>
  <si>
    <t>学期</t>
  </si>
  <si>
    <t>学号</t>
  </si>
  <si>
    <t>姓名</t>
  </si>
  <si>
    <t>考勤1</t>
  </si>
  <si>
    <t>考勤2</t>
  </si>
  <si>
    <t>考勤3</t>
  </si>
  <si>
    <t>考勤4</t>
  </si>
  <si>
    <t>考勤5</t>
  </si>
  <si>
    <t>考勤6</t>
  </si>
  <si>
    <t>考勤7</t>
  </si>
  <si>
    <t>考勤8</t>
  </si>
  <si>
    <t>考勤9</t>
  </si>
  <si>
    <t>考勤10</t>
  </si>
  <si>
    <t>考勤11</t>
  </si>
  <si>
    <t>考勤12</t>
  </si>
  <si>
    <t>考勤13</t>
  </si>
  <si>
    <t>考勤14</t>
  </si>
  <si>
    <t>考勤15</t>
  </si>
  <si>
    <t>考勤16</t>
  </si>
  <si>
    <t>考勤17</t>
  </si>
  <si>
    <t>考勤18</t>
  </si>
  <si>
    <t>考勤19</t>
  </si>
  <si>
    <t>考勤20</t>
  </si>
  <si>
    <t>考勤21</t>
  </si>
  <si>
    <t>考勤22</t>
  </si>
  <si>
    <t>考勤23</t>
  </si>
  <si>
    <t>考勤24</t>
  </si>
  <si>
    <t>考勤25</t>
  </si>
  <si>
    <t>考勤26</t>
  </si>
  <si>
    <t>考勤27</t>
  </si>
  <si>
    <t>考勤28</t>
  </si>
  <si>
    <t>考勤29</t>
  </si>
  <si>
    <t>考勤30</t>
  </si>
  <si>
    <t>考勤31</t>
  </si>
  <si>
    <t>考勤32</t>
  </si>
  <si>
    <t>考勤总数</t>
  </si>
  <si>
    <t>到课数</t>
  </si>
  <si>
    <t>请假数</t>
  </si>
  <si>
    <t>早退数</t>
  </si>
  <si>
    <t>迟到数</t>
  </si>
  <si>
    <t>到课率</t>
  </si>
  <si>
    <t>到</t>
  </si>
  <si>
    <t>请假</t>
  </si>
  <si>
    <t>缺</t>
  </si>
  <si>
    <t>迟到</t>
  </si>
  <si>
    <t>早退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</si>
</sst>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indexed="8"/>
      <name val="宋体"/>
      <charset val="1"/>
      <scheme val="minor"/>
    </font>
    <font>
      <b/>
      <sz val="8"/>
      <color indexed="8"/>
      <name val="宋体"/>
      <charset val="1"/>
      <scheme val="minor"/>
    </font>
    <font>
      <b/>
      <sz val="8"/>
      <name val="SimSun"/>
      <charset val="134"/>
    </font>
    <font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0" fillId="0" borderId="0" xfId="0" applyNumberFormat="1" applyFo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5"/>
  <sheetViews>
    <sheetView tabSelected="1" zoomScale="115" zoomScaleNormal="115" workbookViewId="0">
      <selection activeCell="L15" sqref="L15"/>
    </sheetView>
  </sheetViews>
  <sheetFormatPr defaultColWidth="9" defaultRowHeight="14"/>
  <cols>
    <col min="1" max="1" width="4.22727272727273" customWidth="1"/>
    <col min="2" max="2" width="10.4181818181818" customWidth="1"/>
    <col min="3" max="4" width="11.4363636363636" customWidth="1"/>
    <col min="5" max="5" width="7.54545454545455" customWidth="1"/>
    <col min="6" max="40" width="7.33636363636364" customWidth="1"/>
    <col min="43" max="43" width="7.33636363636364" customWidth="1"/>
  </cols>
  <sheetData>
    <row r="1" s="1" customFormat="1" ht="9.5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 ht="16.35" customHeight="1" spans="1:43">
      <c r="A2" s="4"/>
      <c r="B2" s="4"/>
      <c r="C2" s="4"/>
      <c r="D2" s="4"/>
      <c r="E2" s="4"/>
      <c r="F2" s="4" t="s">
        <v>43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>
        <f>COUNTA(F2:AK2)</f>
        <v>1</v>
      </c>
      <c r="AM2" s="4">
        <f>COUNTIF(F2:AK2,"到")</f>
        <v>1</v>
      </c>
      <c r="AN2" s="4">
        <f>COUNTIF(F2:AK2,"请假")</f>
        <v>0</v>
      </c>
      <c r="AO2" s="4">
        <f>COUNTIF(F2:AK2,"早退")</f>
        <v>0</v>
      </c>
      <c r="AP2" s="4">
        <f>COUNTIF(F2:AK2,"迟到")</f>
        <v>0</v>
      </c>
      <c r="AQ2" s="4">
        <f>AM2/AL2</f>
        <v>1</v>
      </c>
    </row>
    <row r="3" ht="16.35" customHeight="1" spans="1:43">
      <c r="A3" s="4"/>
      <c r="B3" s="4"/>
      <c r="C3" s="4"/>
      <c r="D3" s="4"/>
      <c r="E3" s="4"/>
      <c r="F3" s="4" t="s">
        <v>44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>
        <f t="shared" ref="AL3:AL23" si="0">COUNTA(F3:AK3)</f>
        <v>1</v>
      </c>
      <c r="AM3" s="4">
        <f t="shared" ref="AM3:AM23" si="1">COUNTIF(F3:AK3,"到")</f>
        <v>0</v>
      </c>
      <c r="AN3" s="4">
        <f t="shared" ref="AN3:AN23" si="2">COUNTIF(F3:AK3,"请假")</f>
        <v>1</v>
      </c>
      <c r="AO3" s="4">
        <f t="shared" ref="AO3:AO23" si="3">COUNTIF(F3:AK3,"早退")</f>
        <v>0</v>
      </c>
      <c r="AP3" s="4">
        <f t="shared" ref="AP3:AP23" si="4">COUNTIF(F3:AK3,"迟到")</f>
        <v>0</v>
      </c>
      <c r="AQ3" s="4">
        <f t="shared" ref="AQ3:AQ23" si="5">AM3/AL3</f>
        <v>0</v>
      </c>
    </row>
    <row r="4" ht="16.35" customHeight="1" spans="1:43">
      <c r="A4" s="4"/>
      <c r="B4" s="4"/>
      <c r="C4" s="4"/>
      <c r="D4" s="4"/>
      <c r="E4" s="4"/>
      <c r="F4" s="4" t="s">
        <v>45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>
        <f t="shared" si="0"/>
        <v>1</v>
      </c>
      <c r="AM4" s="4">
        <f t="shared" si="1"/>
        <v>0</v>
      </c>
      <c r="AN4" s="4">
        <f t="shared" si="2"/>
        <v>0</v>
      </c>
      <c r="AO4" s="4">
        <f t="shared" si="3"/>
        <v>0</v>
      </c>
      <c r="AP4" s="4">
        <f t="shared" si="4"/>
        <v>0</v>
      </c>
      <c r="AQ4" s="4">
        <f t="shared" si="5"/>
        <v>0</v>
      </c>
    </row>
    <row r="5" ht="16.35" customHeight="1" spans="1:43">
      <c r="A5" s="4"/>
      <c r="B5" s="4"/>
      <c r="C5" s="4"/>
      <c r="D5" s="4"/>
      <c r="E5" s="4"/>
      <c r="F5" s="4" t="s">
        <v>46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>
        <f t="shared" si="0"/>
        <v>1</v>
      </c>
      <c r="AM5" s="4">
        <f t="shared" si="1"/>
        <v>0</v>
      </c>
      <c r="AN5" s="4">
        <f t="shared" si="2"/>
        <v>0</v>
      </c>
      <c r="AO5" s="4">
        <f t="shared" si="3"/>
        <v>0</v>
      </c>
      <c r="AP5" s="4">
        <f t="shared" si="4"/>
        <v>1</v>
      </c>
      <c r="AQ5" s="4">
        <f t="shared" si="5"/>
        <v>0</v>
      </c>
    </row>
    <row r="6" ht="16.35" customHeight="1" spans="1:43">
      <c r="A6" s="4"/>
      <c r="B6" s="4"/>
      <c r="C6" s="4"/>
      <c r="D6" s="4"/>
      <c r="E6" s="4"/>
      <c r="F6" s="4" t="s">
        <v>47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>
        <f t="shared" si="0"/>
        <v>1</v>
      </c>
      <c r="AM6" s="4">
        <f t="shared" si="1"/>
        <v>0</v>
      </c>
      <c r="AN6" s="4">
        <f t="shared" si="2"/>
        <v>0</v>
      </c>
      <c r="AO6" s="4">
        <f t="shared" si="3"/>
        <v>1</v>
      </c>
      <c r="AP6" s="4">
        <f t="shared" si="4"/>
        <v>0</v>
      </c>
      <c r="AQ6" s="4">
        <f t="shared" si="5"/>
        <v>0</v>
      </c>
    </row>
    <row r="7" ht="16.35" customHeight="1" spans="1:4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>
        <f t="shared" si="0"/>
        <v>0</v>
      </c>
      <c r="AM7" s="4">
        <f t="shared" si="1"/>
        <v>0</v>
      </c>
      <c r="AN7" s="4">
        <f t="shared" si="2"/>
        <v>0</v>
      </c>
      <c r="AO7" s="4">
        <f t="shared" si="3"/>
        <v>0</v>
      </c>
      <c r="AP7" s="4">
        <f t="shared" si="4"/>
        <v>0</v>
      </c>
      <c r="AQ7" s="4" t="e">
        <f t="shared" si="5"/>
        <v>#DIV/0!</v>
      </c>
    </row>
    <row r="8" ht="16.35" customHeight="1" spans="1:4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>
        <f t="shared" si="0"/>
        <v>0</v>
      </c>
      <c r="AM8" s="4">
        <f t="shared" si="1"/>
        <v>0</v>
      </c>
      <c r="AN8" s="4">
        <f t="shared" si="2"/>
        <v>0</v>
      </c>
      <c r="AO8" s="4">
        <f t="shared" si="3"/>
        <v>0</v>
      </c>
      <c r="AP8" s="4">
        <f t="shared" si="4"/>
        <v>0</v>
      </c>
      <c r="AQ8" s="4" t="e">
        <f t="shared" si="5"/>
        <v>#DIV/0!</v>
      </c>
    </row>
    <row r="9" ht="16.35" customHeight="1" spans="1:4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>
        <f t="shared" si="0"/>
        <v>0</v>
      </c>
      <c r="AM9" s="4">
        <f t="shared" si="1"/>
        <v>0</v>
      </c>
      <c r="AN9" s="4">
        <f t="shared" si="2"/>
        <v>0</v>
      </c>
      <c r="AO9" s="4">
        <f t="shared" si="3"/>
        <v>0</v>
      </c>
      <c r="AP9" s="4">
        <f t="shared" si="4"/>
        <v>0</v>
      </c>
      <c r="AQ9" s="4" t="e">
        <f t="shared" si="5"/>
        <v>#DIV/0!</v>
      </c>
    </row>
    <row r="10" ht="16.35" customHeight="1" spans="1:4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>
        <f t="shared" si="0"/>
        <v>0</v>
      </c>
      <c r="AM10" s="4">
        <f t="shared" si="1"/>
        <v>0</v>
      </c>
      <c r="AN10" s="4">
        <f t="shared" si="2"/>
        <v>0</v>
      </c>
      <c r="AO10" s="4">
        <f t="shared" si="3"/>
        <v>0</v>
      </c>
      <c r="AP10" s="4">
        <f t="shared" si="4"/>
        <v>0</v>
      </c>
      <c r="AQ10" s="4" t="e">
        <f t="shared" si="5"/>
        <v>#DIV/0!</v>
      </c>
    </row>
    <row r="11" ht="16.35" customHeight="1" spans="1:4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>
        <f t="shared" si="0"/>
        <v>0</v>
      </c>
      <c r="AM11" s="4">
        <f t="shared" si="1"/>
        <v>0</v>
      </c>
      <c r="AN11" s="4">
        <f t="shared" si="2"/>
        <v>0</v>
      </c>
      <c r="AO11" s="4">
        <f t="shared" si="3"/>
        <v>0</v>
      </c>
      <c r="AP11" s="4">
        <f t="shared" si="4"/>
        <v>0</v>
      </c>
      <c r="AQ11" s="4" t="e">
        <f t="shared" si="5"/>
        <v>#DIV/0!</v>
      </c>
    </row>
    <row r="12" ht="16.35" customHeight="1" spans="1:4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3"/>
      <c r="AJ12" s="4"/>
      <c r="AK12" s="4"/>
      <c r="AL12" s="4">
        <f t="shared" si="0"/>
        <v>0</v>
      </c>
      <c r="AM12" s="4">
        <f t="shared" si="1"/>
        <v>0</v>
      </c>
      <c r="AN12" s="4">
        <f t="shared" si="2"/>
        <v>0</v>
      </c>
      <c r="AO12" s="4">
        <f t="shared" si="3"/>
        <v>0</v>
      </c>
      <c r="AP12" s="4">
        <f t="shared" si="4"/>
        <v>0</v>
      </c>
      <c r="AQ12" s="4" t="e">
        <f t="shared" si="5"/>
        <v>#DIV/0!</v>
      </c>
    </row>
    <row r="13" ht="16.35" customHeight="1" spans="1:4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>
        <f t="shared" si="0"/>
        <v>0</v>
      </c>
      <c r="AM13" s="4">
        <f t="shared" si="1"/>
        <v>0</v>
      </c>
      <c r="AN13" s="4">
        <f t="shared" si="2"/>
        <v>0</v>
      </c>
      <c r="AO13" s="4">
        <f t="shared" si="3"/>
        <v>0</v>
      </c>
      <c r="AP13" s="4">
        <f t="shared" si="4"/>
        <v>0</v>
      </c>
      <c r="AQ13" s="4" t="e">
        <f t="shared" si="5"/>
        <v>#DIV/0!</v>
      </c>
    </row>
    <row r="14" ht="16.35" customHeight="1" spans="1:4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>
        <f t="shared" si="0"/>
        <v>0</v>
      </c>
      <c r="AM14" s="4">
        <f t="shared" si="1"/>
        <v>0</v>
      </c>
      <c r="AN14" s="4">
        <f t="shared" si="2"/>
        <v>0</v>
      </c>
      <c r="AO14" s="4">
        <f t="shared" si="3"/>
        <v>0</v>
      </c>
      <c r="AP14" s="4">
        <f t="shared" si="4"/>
        <v>0</v>
      </c>
      <c r="AQ14" s="4" t="e">
        <f t="shared" si="5"/>
        <v>#DIV/0!</v>
      </c>
    </row>
    <row r="15" ht="16.35" customHeight="1" spans="1:4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>
        <f t="shared" si="0"/>
        <v>0</v>
      </c>
      <c r="AM15" s="4">
        <f t="shared" si="1"/>
        <v>0</v>
      </c>
      <c r="AN15" s="4">
        <f t="shared" si="2"/>
        <v>0</v>
      </c>
      <c r="AO15" s="4">
        <f t="shared" si="3"/>
        <v>0</v>
      </c>
      <c r="AP15" s="4">
        <f t="shared" si="4"/>
        <v>0</v>
      </c>
      <c r="AQ15" s="4" t="e">
        <f t="shared" si="5"/>
        <v>#DIV/0!</v>
      </c>
    </row>
    <row r="16" ht="16.35" customHeight="1" spans="1:4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>
        <f t="shared" si="0"/>
        <v>0</v>
      </c>
      <c r="AM16" s="4">
        <f t="shared" si="1"/>
        <v>0</v>
      </c>
      <c r="AN16" s="4">
        <f t="shared" si="2"/>
        <v>0</v>
      </c>
      <c r="AO16" s="4">
        <f t="shared" si="3"/>
        <v>0</v>
      </c>
      <c r="AP16" s="4">
        <f t="shared" si="4"/>
        <v>0</v>
      </c>
      <c r="AQ16" s="4" t="e">
        <f t="shared" si="5"/>
        <v>#DIV/0!</v>
      </c>
    </row>
    <row r="17" ht="16.35" customHeight="1" spans="1:4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>
        <f t="shared" si="0"/>
        <v>0</v>
      </c>
      <c r="AM17" s="4">
        <f t="shared" si="1"/>
        <v>0</v>
      </c>
      <c r="AN17" s="4">
        <f t="shared" si="2"/>
        <v>0</v>
      </c>
      <c r="AO17" s="4">
        <f t="shared" si="3"/>
        <v>0</v>
      </c>
      <c r="AP17" s="4">
        <f t="shared" si="4"/>
        <v>0</v>
      </c>
      <c r="AQ17" s="4" t="e">
        <f t="shared" si="5"/>
        <v>#DIV/0!</v>
      </c>
    </row>
    <row r="18" ht="16.35" customHeight="1" spans="1:4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>
        <f t="shared" si="0"/>
        <v>0</v>
      </c>
      <c r="AM18" s="4">
        <f t="shared" si="1"/>
        <v>0</v>
      </c>
      <c r="AN18" s="4">
        <f t="shared" si="2"/>
        <v>0</v>
      </c>
      <c r="AO18" s="4">
        <f t="shared" si="3"/>
        <v>0</v>
      </c>
      <c r="AP18" s="4">
        <f t="shared" si="4"/>
        <v>0</v>
      </c>
      <c r="AQ18" s="4" t="e">
        <f t="shared" si="5"/>
        <v>#DIV/0!</v>
      </c>
    </row>
    <row r="19" ht="16.35" customHeight="1" spans="1:4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>
        <f t="shared" si="0"/>
        <v>0</v>
      </c>
      <c r="AM19" s="4">
        <f t="shared" si="1"/>
        <v>0</v>
      </c>
      <c r="AN19" s="4">
        <f t="shared" si="2"/>
        <v>0</v>
      </c>
      <c r="AO19" s="4">
        <f t="shared" si="3"/>
        <v>0</v>
      </c>
      <c r="AP19" s="4">
        <f t="shared" si="4"/>
        <v>0</v>
      </c>
      <c r="AQ19" s="4" t="e">
        <f t="shared" si="5"/>
        <v>#DIV/0!</v>
      </c>
    </row>
    <row r="20" ht="16.35" customHeight="1" spans="1:4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>
        <f t="shared" si="0"/>
        <v>0</v>
      </c>
      <c r="AM20" s="4">
        <f t="shared" si="1"/>
        <v>0</v>
      </c>
      <c r="AN20" s="4">
        <f t="shared" si="2"/>
        <v>0</v>
      </c>
      <c r="AO20" s="4">
        <f t="shared" si="3"/>
        <v>0</v>
      </c>
      <c r="AP20" s="4">
        <f t="shared" si="4"/>
        <v>0</v>
      </c>
      <c r="AQ20" s="4" t="e">
        <f t="shared" si="5"/>
        <v>#DIV/0!</v>
      </c>
    </row>
    <row r="21" ht="16.35" customHeight="1" spans="1:4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>
        <f t="shared" si="0"/>
        <v>0</v>
      </c>
      <c r="AM21" s="4">
        <f t="shared" si="1"/>
        <v>0</v>
      </c>
      <c r="AN21" s="4">
        <f t="shared" si="2"/>
        <v>0</v>
      </c>
      <c r="AO21" s="4">
        <f t="shared" si="3"/>
        <v>0</v>
      </c>
      <c r="AP21" s="4">
        <f t="shared" si="4"/>
        <v>0</v>
      </c>
      <c r="AQ21" s="4" t="e">
        <f t="shared" si="5"/>
        <v>#DIV/0!</v>
      </c>
    </row>
    <row r="22" ht="16.35" customHeight="1" spans="1:4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>
        <f t="shared" si="0"/>
        <v>0</v>
      </c>
      <c r="AM22" s="4">
        <f t="shared" si="1"/>
        <v>0</v>
      </c>
      <c r="AN22" s="4">
        <f t="shared" si="2"/>
        <v>0</v>
      </c>
      <c r="AO22" s="4">
        <f t="shared" si="3"/>
        <v>0</v>
      </c>
      <c r="AP22" s="4">
        <f t="shared" si="4"/>
        <v>0</v>
      </c>
      <c r="AQ22" s="4" t="e">
        <f t="shared" si="5"/>
        <v>#DIV/0!</v>
      </c>
    </row>
    <row r="23" ht="16.35" customHeight="1" spans="1:4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>
        <f t="shared" si="0"/>
        <v>0</v>
      </c>
      <c r="AM23" s="4">
        <f t="shared" si="1"/>
        <v>0</v>
      </c>
      <c r="AN23" s="4">
        <f t="shared" si="2"/>
        <v>0</v>
      </c>
      <c r="AO23" s="4">
        <f t="shared" si="3"/>
        <v>0</v>
      </c>
      <c r="AP23" s="4">
        <f t="shared" si="4"/>
        <v>0</v>
      </c>
      <c r="AQ23" s="4" t="e">
        <f t="shared" si="5"/>
        <v>#DIV/0!</v>
      </c>
    </row>
    <row r="24" spans="1:43"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6"/>
      <c r="AJ24" s="5"/>
      <c r="AK24" s="5"/>
      <c r="AL24" s="5"/>
      <c r="AM24" s="5"/>
      <c r="AN24" s="5"/>
      <c r="AO24" s="7"/>
      <c r="AP24" s="7"/>
      <c r="AQ24" s="5"/>
    </row>
    <row r="25" spans="1:43">
      <c r="AI25" s="6"/>
      <c r="AO25" s="7"/>
      <c r="AP25" s="7"/>
    </row>
    <row r="26" spans="1:43">
      <c r="AI26" s="6"/>
      <c r="AO26" s="7"/>
      <c r="AP26" s="7"/>
    </row>
    <row r="27" spans="1:43">
      <c r="AI27" s="6"/>
    </row>
    <row r="28" spans="1:43">
      <c r="AI28" s="6"/>
    </row>
    <row r="29" spans="1:43">
      <c r="AI29" s="6"/>
    </row>
    <row r="30" spans="1:43">
      <c r="AI30" s="6"/>
    </row>
    <row r="31" spans="1:43">
      <c r="AI31" s="6"/>
    </row>
    <row r="32" spans="1:43">
      <c r="AI32" s="6"/>
    </row>
    <row r="33" spans="35:35">
      <c r="AI33" s="6"/>
    </row>
    <row r="34" spans="35:35">
      <c r="AI34" s="6"/>
    </row>
    <row r="35" spans="35:35">
      <c r="AI35" s="5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模板-考勤情况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2026-07-14T03:16:23Z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FB98B919AC3F481E95E4A505019E17B5</vt:lpwstr>
  </property>
  <property fmtid="{D5CDD505-2E9C-101B-9397-08002B2CF9AE}" pid="4" name="CalculationRule">
    <vt:i4>0</vt:i4>
  </property>
</Properties>
</file>