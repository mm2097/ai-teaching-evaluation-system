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50" windowHeight="12040" activeTab="2"/>
  </bookViews>
  <sheets>
    <sheet name="软件1801" sheetId="5" r:id="rId1"/>
    <sheet name="软件1802" sheetId="2" r:id="rId2"/>
    <sheet name="软件1803" sheetId="3" r:id="rId3"/>
  </sheets>
  <definedNames>
    <definedName name="_xlnm.Print_Area" localSheetId="2">软件1803!$A$1:$D$1</definedName>
    <definedName name="_xlnm.Print_Area" localSheetId="1">软件1802!$A$1:$D$2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<sst xmlns="http://schemas.openxmlformats.org/spreadsheetml/2006/main" count="824" uniqueCount="188">
  <si>
    <t>编号</t>
  </si>
  <si>
    <t>课程号</t>
  </si>
  <si>
    <t>课程名称</t>
  </si>
  <si>
    <t>学期</t>
  </si>
  <si>
    <t>测试名称</t>
  </si>
  <si>
    <t>学号</t>
  </si>
  <si>
    <t>姓名</t>
  </si>
  <si>
    <t>第1大题</t>
  </si>
  <si>
    <t>第 1 大题扣分的主要知识点</t>
  </si>
  <si>
    <t>第2大题</t>
  </si>
  <si>
    <t>第 2 大题扣分的主要知识点</t>
  </si>
  <si>
    <t>第3大题</t>
  </si>
  <si>
    <t>第 3 大题扣分的主要知识点</t>
  </si>
  <si>
    <t>第4大题</t>
  </si>
  <si>
    <t>第 4 大题扣分的主要知识点</t>
  </si>
  <si>
    <t>第5大题</t>
  </si>
  <si>
    <t>第 5 大题扣分的主要知识点</t>
  </si>
  <si>
    <t>总成绩</t>
  </si>
  <si>
    <t>所考查的知识点</t>
  </si>
  <si>
    <t>计算机网络</t>
  </si>
  <si>
    <t>2020年秋季学期</t>
  </si>
  <si>
    <t>期中考试</t>
  </si>
  <si>
    <t>201726010101</t>
  </si>
  <si>
    <t>孔祥宁</t>
  </si>
  <si>
    <t>数据报分片</t>
  </si>
  <si>
    <t>TCP/IP参考模型</t>
  </si>
  <si>
    <t>TCP报文段</t>
  </si>
  <si>
    <t>可靠传输技术</t>
  </si>
  <si>
    <t>ARP协议</t>
  </si>
  <si>
    <t>传输时延</t>
  </si>
  <si>
    <t>201803030311</t>
  </si>
  <si>
    <t>杨伯昊</t>
  </si>
  <si>
    <t>传输时延、TCP/UDP协议</t>
  </si>
  <si>
    <t>GBN协议</t>
  </si>
  <si>
    <t>IP地址与MAC地址</t>
  </si>
  <si>
    <t>局域网IP地址划分</t>
  </si>
  <si>
    <t>无连接的传输协议</t>
  </si>
  <si>
    <t>201826010102</t>
  </si>
  <si>
    <t>徐颖</t>
  </si>
  <si>
    <t>距离向量算法</t>
  </si>
  <si>
    <t>信道利用率计算</t>
  </si>
  <si>
    <t>201826010103</t>
  </si>
  <si>
    <t>甘凌志</t>
  </si>
  <si>
    <t>TCP协议</t>
  </si>
  <si>
    <t>TCP协议连接建立与释放</t>
  </si>
  <si>
    <t>NAT协议</t>
  </si>
  <si>
    <t>校验和计算</t>
  </si>
  <si>
    <t>201826010104</t>
  </si>
  <si>
    <t>陈佳伟</t>
  </si>
  <si>
    <t>传输吞吐量计算</t>
  </si>
  <si>
    <t>201826010105</t>
  </si>
  <si>
    <t>张峻宇</t>
  </si>
  <si>
    <t>CRC校验码</t>
  </si>
  <si>
    <t>DNS协议</t>
  </si>
  <si>
    <t>TCP/UDP协议</t>
  </si>
  <si>
    <t>201826010106</t>
  </si>
  <si>
    <t>蔡君浩</t>
  </si>
  <si>
    <t>201826010109</t>
  </si>
  <si>
    <t>钟婧</t>
  </si>
  <si>
    <t>201826010112</t>
  </si>
  <si>
    <t>丁嘉欣</t>
  </si>
  <si>
    <t>IPV4/V6协议</t>
  </si>
  <si>
    <t>201826010113</t>
  </si>
  <si>
    <t>肖云杰</t>
  </si>
  <si>
    <t>OSPF和BGP协议</t>
  </si>
  <si>
    <t>201826010114</t>
  </si>
  <si>
    <t>张馀玎</t>
  </si>
  <si>
    <t>HTTP协议</t>
  </si>
  <si>
    <t>201826010115</t>
  </si>
  <si>
    <t>詹家坤</t>
  </si>
  <si>
    <t>201826010117</t>
  </si>
  <si>
    <t>张楠</t>
  </si>
  <si>
    <t>201826010118</t>
  </si>
  <si>
    <t>何楚强</t>
  </si>
  <si>
    <t>201826010119</t>
  </si>
  <si>
    <t>李雨辰</t>
  </si>
  <si>
    <t>201826010120</t>
  </si>
  <si>
    <t>李星沛</t>
  </si>
  <si>
    <t>SDN网络</t>
  </si>
  <si>
    <t>201826010122</t>
  </si>
  <si>
    <t>吴催波</t>
  </si>
  <si>
    <t>201826010123</t>
  </si>
  <si>
    <t>周兴宇</t>
  </si>
  <si>
    <t>201826010124</t>
  </si>
  <si>
    <t>杨家豪</t>
  </si>
  <si>
    <t>ICMP协议</t>
  </si>
  <si>
    <t>201826010126</t>
  </si>
  <si>
    <t>梁金子</t>
  </si>
  <si>
    <t>201826010127</t>
  </si>
  <si>
    <t>李瀚林</t>
  </si>
  <si>
    <t>201826010128</t>
  </si>
  <si>
    <t>徐静茹</t>
  </si>
  <si>
    <t>201826010129</t>
  </si>
  <si>
    <t>钱辰</t>
  </si>
  <si>
    <t>201826010130</t>
  </si>
  <si>
    <t>加拉力丁·依马木</t>
  </si>
  <si>
    <t>201829010201</t>
  </si>
  <si>
    <t>李世颂</t>
  </si>
  <si>
    <t>CSMA/CD协议实</t>
  </si>
  <si>
    <t>二进制指数退避算法</t>
  </si>
  <si>
    <t>TCP 的拥塞窗口</t>
  </si>
  <si>
    <r>
      <rPr>
        <sz val="12"/>
        <color rgb="FF000000"/>
        <rFont val="Times New Roman"/>
        <charset val="1"/>
      </rPr>
      <t xml:space="preserve">TCP </t>
    </r>
    <r>
      <rPr>
        <sz val="12"/>
        <color rgb="FF000000"/>
        <rFont val="宋体"/>
        <charset val="1"/>
      </rPr>
      <t>的慢启动</t>
    </r>
  </si>
  <si>
    <t>201713010118</t>
  </si>
  <si>
    <t>郭晗婕</t>
  </si>
  <si>
    <t>201804050215</t>
  </si>
  <si>
    <t>鲍炜杰</t>
  </si>
  <si>
    <t>201804061214</t>
  </si>
  <si>
    <t>方浩楠</t>
  </si>
  <si>
    <t>201826010201</t>
  </si>
  <si>
    <t>高伊格</t>
  </si>
  <si>
    <t>201826010203</t>
  </si>
  <si>
    <t>梁耀升</t>
  </si>
  <si>
    <t>201826010204</t>
  </si>
  <si>
    <t>潘琳</t>
  </si>
  <si>
    <t>201826010206</t>
  </si>
  <si>
    <t>李锦浩</t>
  </si>
  <si>
    <t>201826010209</t>
  </si>
  <si>
    <t>陈柏宇</t>
  </si>
  <si>
    <t>201826010214</t>
  </si>
  <si>
    <t>洪绵权</t>
  </si>
  <si>
    <t>201826010215</t>
  </si>
  <si>
    <t>刘大卫</t>
  </si>
  <si>
    <t>201826010216</t>
  </si>
  <si>
    <t>肖欣</t>
  </si>
  <si>
    <t>201826010217</t>
  </si>
  <si>
    <t>殷浩翔</t>
  </si>
  <si>
    <t>201826010218</t>
  </si>
  <si>
    <t>邹智翼</t>
  </si>
  <si>
    <t>201826010219</t>
  </si>
  <si>
    <t>雷佳晨</t>
  </si>
  <si>
    <t>201826010220</t>
  </si>
  <si>
    <t>马诗丹</t>
  </si>
  <si>
    <t>201826010222</t>
  </si>
  <si>
    <t>曹芊</t>
  </si>
  <si>
    <t>201826010223</t>
  </si>
  <si>
    <t>唐诗远</t>
  </si>
  <si>
    <t>201826010227</t>
  </si>
  <si>
    <t>刘佳雨</t>
  </si>
  <si>
    <t>201826010228</t>
  </si>
  <si>
    <t>吴优</t>
  </si>
  <si>
    <t>201826010229</t>
  </si>
  <si>
    <t>鄢蝶</t>
  </si>
  <si>
    <t>201826010230</t>
  </si>
  <si>
    <t>麦麦提·阿卜杜赛米</t>
  </si>
  <si>
    <t>201808030406</t>
  </si>
  <si>
    <t>赵双艺</t>
  </si>
  <si>
    <t>201808030408</t>
  </si>
  <si>
    <t>黄舟瑜</t>
  </si>
  <si>
    <t>201826010302</t>
  </si>
  <si>
    <t>张佳妮</t>
  </si>
  <si>
    <t>201826010303</t>
  </si>
  <si>
    <t>李元哲</t>
  </si>
  <si>
    <t>201826010304</t>
  </si>
  <si>
    <t>虞绮春</t>
  </si>
  <si>
    <t>201826010305</t>
  </si>
  <si>
    <t>张智清</t>
  </si>
  <si>
    <t>201826010306</t>
  </si>
  <si>
    <t>彭浩宇</t>
  </si>
  <si>
    <t>201826010307</t>
  </si>
  <si>
    <t>潘星辰</t>
  </si>
  <si>
    <t>201826010308</t>
  </si>
  <si>
    <t>沈伟峰</t>
  </si>
  <si>
    <t>201826010310</t>
  </si>
  <si>
    <t>杨晓迪</t>
  </si>
  <si>
    <t>201826010311</t>
  </si>
  <si>
    <t>王成龙</t>
  </si>
  <si>
    <t>201826010313</t>
  </si>
  <si>
    <t>杨佳</t>
  </si>
  <si>
    <t>201826010316</t>
  </si>
  <si>
    <t>陈扬霈</t>
  </si>
  <si>
    <t>201826010318</t>
  </si>
  <si>
    <t>李俊</t>
  </si>
  <si>
    <t>201826010319</t>
  </si>
  <si>
    <t>李菲菲</t>
  </si>
  <si>
    <t>201826010321</t>
  </si>
  <si>
    <t>宁君辉</t>
  </si>
  <si>
    <t>201826010322</t>
  </si>
  <si>
    <t>胡亮</t>
  </si>
  <si>
    <t>201826010323</t>
  </si>
  <si>
    <t>谭晓杰</t>
  </si>
  <si>
    <t>201826010325</t>
  </si>
  <si>
    <t>刘海天</t>
  </si>
  <si>
    <t>201826010326</t>
  </si>
  <si>
    <t>李明光</t>
  </si>
  <si>
    <t>201826010327</t>
  </si>
  <si>
    <t>陈熙麟</t>
  </si>
  <si>
    <t>201826010329</t>
  </si>
  <si>
    <t>江北辰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</si>
</sst>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"/>
      <scheme val="minor"/>
    </font>
    <font>
      <b/>
      <sz val="11"/>
      <color indexed="8"/>
      <name val="宋体"/>
      <charset val="1"/>
      <scheme val="minor"/>
    </font>
    <font>
      <b/>
      <sz val="8"/>
      <color indexed="8"/>
      <name val="宋体"/>
      <charset val="1"/>
      <scheme val="minor"/>
    </font>
    <font>
      <b/>
      <sz val="9"/>
      <name val="SimSun"/>
      <charset val="134"/>
    </font>
    <font>
      <sz val="9"/>
      <name val="SimSun"/>
      <charset val="134"/>
    </font>
    <font>
      <sz val="12"/>
      <color rgb="FF000000"/>
      <name val="Times New Roman"/>
      <charset val="1"/>
    </font>
    <font>
      <b/>
      <sz val="8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宋体"/>
      <charset val="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2">
    <xf numFmtId="0" fontId="0" fillId="0" borderId="0" xfId="0" applyFont="1">
      <alignment vertical="center"/>
    </xf>
    <xf numFmtId="0" fontId="1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5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4" fillId="0" borderId="1" xfId="0" applyFont="1" applyFill="1" applyBorder="1" applyAlignment="1" quotePrefix="1">
      <alignment horizontal="center" vertical="center" wrapText="1"/>
    </xf>
    <xf numFmtId="0" fontId="4" fillId="0" borderId="1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4"/>
  <sheetViews>
    <sheetView zoomScale="70" zoomScaleNormal="70" workbookViewId="0">
      <selection activeCell="B2" sqref="B2:B26"/>
    </sheetView>
  </sheetViews>
  <sheetFormatPr defaultColWidth="9" defaultRowHeight="14"/>
  <cols>
    <col min="2" max="3" width="12" customWidth="1"/>
    <col min="4" max="4" width="15.5818181818182" customWidth="1"/>
    <col min="5" max="6" width="12" customWidth="1"/>
    <col min="8" max="8" width="9" style="20"/>
    <col min="9" max="9" width="29.7272727272727" customWidth="1"/>
    <col min="11" max="11" width="29.7272727272727" customWidth="1"/>
    <col min="13" max="13" width="29.7272727272727" customWidth="1"/>
    <col min="15" max="15" width="29.7272727272727" customWidth="1"/>
    <col min="17" max="17" width="29.7272727272727" customWidth="1"/>
    <col min="20" max="20" width="7.62727272727273" customWidth="1"/>
    <col min="21" max="21" width="19.7545454545455" customWidth="1"/>
  </cols>
  <sheetData>
    <row r="1" s="18" customFormat="1" ht="23" customHeight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/>
      <c r="U1" s="18" t="s">
        <v>18</v>
      </c>
    </row>
    <row r="2" s="19" customFormat="1" ht="22" customHeight="1" spans="1:21">
      <c r="A2" s="8">
        <v>1</v>
      </c>
      <c r="B2" s="7">
        <v>1</v>
      </c>
      <c r="C2" s="7" t="s">
        <v>19</v>
      </c>
      <c r="D2" s="7" t="s">
        <v>20</v>
      </c>
      <c r="E2" s="7" t="s">
        <v>21</v>
      </c>
      <c r="F2" s="8" t="s">
        <v>22</v>
      </c>
      <c r="G2" s="8" t="s">
        <v>23</v>
      </c>
      <c r="H2" s="8">
        <v>2</v>
      </c>
      <c r="I2" s="8" t="s">
        <v>24</v>
      </c>
      <c r="J2" s="8">
        <v>2</v>
      </c>
      <c r="K2" s="8" t="s">
        <v>25</v>
      </c>
      <c r="L2" s="8">
        <v>2</v>
      </c>
      <c r="M2" s="8" t="s">
        <v>26</v>
      </c>
      <c r="N2" s="8">
        <v>2</v>
      </c>
      <c r="O2" s="8" t="s">
        <v>27</v>
      </c>
      <c r="P2" s="8">
        <v>2</v>
      </c>
      <c r="Q2" s="8" t="s">
        <v>28</v>
      </c>
      <c r="R2" s="8">
        <f>100-J2-L2-N2-P2</f>
        <v>92</v>
      </c>
      <c r="S2" s="9"/>
      <c r="U2" s="19" t="s">
        <v>29</v>
      </c>
    </row>
    <row r="3" s="19" customFormat="1" ht="22" customHeight="1" spans="1:21">
      <c r="A3" s="8">
        <v>2</v>
      </c>
      <c r="B3" s="7">
        <v>1</v>
      </c>
      <c r="C3" s="7" t="s">
        <v>19</v>
      </c>
      <c r="D3" s="7" t="s">
        <v>20</v>
      </c>
      <c r="E3" s="7" t="s">
        <v>21</v>
      </c>
      <c r="F3" s="8" t="s">
        <v>30</v>
      </c>
      <c r="G3" s="8" t="s">
        <v>31</v>
      </c>
      <c r="H3" s="8">
        <v>3</v>
      </c>
      <c r="I3" s="8" t="s">
        <v>32</v>
      </c>
      <c r="J3" s="8">
        <v>4</v>
      </c>
      <c r="K3" s="8" t="s">
        <v>33</v>
      </c>
      <c r="L3" s="8">
        <v>3</v>
      </c>
      <c r="M3" s="8" t="s">
        <v>26</v>
      </c>
      <c r="N3" s="8">
        <v>3</v>
      </c>
      <c r="O3" s="8" t="s">
        <v>34</v>
      </c>
      <c r="P3" s="8">
        <v>3</v>
      </c>
      <c r="Q3" s="8" t="s">
        <v>35</v>
      </c>
      <c r="R3" s="8">
        <f t="shared" ref="R3:R26" si="0">100-J3-L3-N3-P3</f>
        <v>87</v>
      </c>
      <c r="S3" s="9"/>
      <c r="U3" s="19" t="s">
        <v>36</v>
      </c>
    </row>
    <row r="4" s="19" customFormat="1" ht="22" customHeight="1" spans="1:21">
      <c r="A4" s="8">
        <v>3</v>
      </c>
      <c r="B4" s="7">
        <v>1</v>
      </c>
      <c r="C4" s="7" t="s">
        <v>19</v>
      </c>
      <c r="D4" s="7" t="s">
        <v>20</v>
      </c>
      <c r="E4" s="7" t="s">
        <v>21</v>
      </c>
      <c r="F4" s="8" t="s">
        <v>37</v>
      </c>
      <c r="G4" s="8" t="s">
        <v>38</v>
      </c>
      <c r="H4" s="8">
        <v>4</v>
      </c>
      <c r="I4" s="8" t="s">
        <v>39</v>
      </c>
      <c r="J4" s="8">
        <v>4</v>
      </c>
      <c r="K4" s="8" t="s">
        <v>25</v>
      </c>
      <c r="L4" s="8">
        <v>4</v>
      </c>
      <c r="M4" s="8" t="s">
        <v>33</v>
      </c>
      <c r="N4" s="8">
        <v>4</v>
      </c>
      <c r="O4" s="8" t="s">
        <v>27</v>
      </c>
      <c r="P4" s="8">
        <v>4</v>
      </c>
      <c r="Q4" s="8" t="s">
        <v>28</v>
      </c>
      <c r="R4" s="8">
        <f t="shared" si="0"/>
        <v>84</v>
      </c>
      <c r="S4" s="9"/>
      <c r="U4" s="19" t="s">
        <v>40</v>
      </c>
    </row>
    <row r="5" s="19" customFormat="1" ht="22" customHeight="1" spans="1:21">
      <c r="A5" s="8">
        <v>4</v>
      </c>
      <c r="B5" s="7">
        <v>1</v>
      </c>
      <c r="C5" s="7" t="s">
        <v>19</v>
      </c>
      <c r="D5" s="7" t="s">
        <v>20</v>
      </c>
      <c r="E5" s="7" t="s">
        <v>21</v>
      </c>
      <c r="F5" s="8" t="s">
        <v>41</v>
      </c>
      <c r="G5" s="8" t="s">
        <v>42</v>
      </c>
      <c r="H5" s="8">
        <v>4</v>
      </c>
      <c r="I5" s="8" t="s">
        <v>36</v>
      </c>
      <c r="J5" s="8">
        <v>4</v>
      </c>
      <c r="K5" s="8" t="s">
        <v>43</v>
      </c>
      <c r="L5" s="8">
        <v>4</v>
      </c>
      <c r="M5" s="8" t="s">
        <v>25</v>
      </c>
      <c r="N5" s="8">
        <v>4</v>
      </c>
      <c r="O5" s="8" t="s">
        <v>44</v>
      </c>
      <c r="P5" s="8">
        <v>4</v>
      </c>
      <c r="Q5" s="8" t="s">
        <v>45</v>
      </c>
      <c r="R5" s="8">
        <f t="shared" si="0"/>
        <v>84</v>
      </c>
      <c r="S5" s="9"/>
      <c r="U5" s="19" t="s">
        <v>46</v>
      </c>
    </row>
    <row r="6" s="19" customFormat="1" ht="22" customHeight="1" spans="1:21">
      <c r="A6" s="8">
        <v>5</v>
      </c>
      <c r="B6" s="7">
        <v>1</v>
      </c>
      <c r="C6" s="7" t="s">
        <v>19</v>
      </c>
      <c r="D6" s="7" t="s">
        <v>20</v>
      </c>
      <c r="E6" s="7" t="s">
        <v>21</v>
      </c>
      <c r="F6" s="8" t="s">
        <v>47</v>
      </c>
      <c r="G6" s="8" t="s">
        <v>48</v>
      </c>
      <c r="H6" s="8">
        <v>3</v>
      </c>
      <c r="I6" s="8" t="s">
        <v>24</v>
      </c>
      <c r="J6" s="8">
        <v>2</v>
      </c>
      <c r="K6" s="8" t="s">
        <v>49</v>
      </c>
      <c r="L6" s="8">
        <v>3</v>
      </c>
      <c r="M6" s="8" t="s">
        <v>49</v>
      </c>
      <c r="N6" s="8">
        <v>3</v>
      </c>
      <c r="O6" s="8" t="s">
        <v>34</v>
      </c>
      <c r="P6" s="8">
        <v>3</v>
      </c>
      <c r="Q6" s="8" t="s">
        <v>35</v>
      </c>
      <c r="R6" s="8">
        <f t="shared" si="0"/>
        <v>89</v>
      </c>
      <c r="S6" s="9"/>
      <c r="U6" s="19" t="s">
        <v>24</v>
      </c>
    </row>
    <row r="7" s="19" customFormat="1" ht="22" customHeight="1" spans="1:21">
      <c r="A7" s="8">
        <v>6</v>
      </c>
      <c r="B7" s="7">
        <v>1</v>
      </c>
      <c r="C7" s="7" t="s">
        <v>19</v>
      </c>
      <c r="D7" s="7" t="s">
        <v>20</v>
      </c>
      <c r="E7" s="7" t="s">
        <v>21</v>
      </c>
      <c r="F7" s="8" t="s">
        <v>50</v>
      </c>
      <c r="G7" s="8" t="s">
        <v>51</v>
      </c>
      <c r="H7" s="8">
        <v>4</v>
      </c>
      <c r="I7" s="8" t="s">
        <v>52</v>
      </c>
      <c r="J7" s="8">
        <v>4</v>
      </c>
      <c r="K7" s="8" t="s">
        <v>53</v>
      </c>
      <c r="L7" s="8">
        <v>4</v>
      </c>
      <c r="M7" s="8" t="s">
        <v>25</v>
      </c>
      <c r="N7" s="8">
        <v>4</v>
      </c>
      <c r="O7" s="8" t="s">
        <v>27</v>
      </c>
      <c r="P7" s="8">
        <v>4</v>
      </c>
      <c r="Q7" s="8" t="s">
        <v>45</v>
      </c>
      <c r="R7" s="8">
        <f t="shared" si="0"/>
        <v>84</v>
      </c>
      <c r="S7" s="9"/>
      <c r="U7" s="19" t="s">
        <v>54</v>
      </c>
    </row>
    <row r="8" s="19" customFormat="1" ht="22" customHeight="1" spans="1:21">
      <c r="A8" s="8">
        <v>7</v>
      </c>
      <c r="B8" s="7">
        <v>1</v>
      </c>
      <c r="C8" s="7" t="s">
        <v>19</v>
      </c>
      <c r="D8" s="7" t="s">
        <v>20</v>
      </c>
      <c r="E8" s="7" t="s">
        <v>21</v>
      </c>
      <c r="F8" s="8" t="s">
        <v>55</v>
      </c>
      <c r="G8" s="8" t="s">
        <v>56</v>
      </c>
      <c r="H8" s="8">
        <v>3</v>
      </c>
      <c r="I8" s="8" t="s">
        <v>24</v>
      </c>
      <c r="J8" s="8">
        <v>3</v>
      </c>
      <c r="K8" s="8" t="s">
        <v>33</v>
      </c>
      <c r="L8" s="8">
        <v>3</v>
      </c>
      <c r="M8" s="8" t="s">
        <v>26</v>
      </c>
      <c r="N8" s="8">
        <v>3</v>
      </c>
      <c r="O8" s="8" t="s">
        <v>44</v>
      </c>
      <c r="P8" s="8">
        <v>3</v>
      </c>
      <c r="Q8" s="8" t="s">
        <v>28</v>
      </c>
      <c r="R8" s="8">
        <f t="shared" si="0"/>
        <v>88</v>
      </c>
      <c r="S8" s="9"/>
      <c r="U8" s="19" t="s">
        <v>39</v>
      </c>
    </row>
    <row r="9" s="19" customFormat="1" ht="22" customHeight="1" spans="1:21">
      <c r="A9" s="8">
        <v>8</v>
      </c>
      <c r="B9" s="7">
        <v>1</v>
      </c>
      <c r="C9" s="7" t="s">
        <v>19</v>
      </c>
      <c r="D9" s="7" t="s">
        <v>20</v>
      </c>
      <c r="E9" s="7" t="s">
        <v>21</v>
      </c>
      <c r="F9" s="8" t="s">
        <v>57</v>
      </c>
      <c r="G9" s="8" t="s">
        <v>58</v>
      </c>
      <c r="H9" s="8">
        <v>3</v>
      </c>
      <c r="I9" s="8" t="s">
        <v>36</v>
      </c>
      <c r="J9" s="8">
        <v>3</v>
      </c>
      <c r="K9" s="8" t="s">
        <v>49</v>
      </c>
      <c r="L9" s="8">
        <v>3</v>
      </c>
      <c r="M9" s="8" t="s">
        <v>33</v>
      </c>
      <c r="N9" s="8">
        <v>3</v>
      </c>
      <c r="O9" s="8" t="s">
        <v>34</v>
      </c>
      <c r="P9" s="8">
        <v>3</v>
      </c>
      <c r="Q9" s="8" t="s">
        <v>45</v>
      </c>
      <c r="R9" s="8">
        <f t="shared" si="0"/>
        <v>88</v>
      </c>
      <c r="S9" s="9"/>
      <c r="U9" s="19" t="s">
        <v>52</v>
      </c>
    </row>
    <row r="10" s="19" customFormat="1" ht="22" customHeight="1" spans="1:21">
      <c r="A10" s="8">
        <v>9</v>
      </c>
      <c r="B10" s="7">
        <v>1</v>
      </c>
      <c r="C10" s="7" t="s">
        <v>19</v>
      </c>
      <c r="D10" s="7" t="s">
        <v>20</v>
      </c>
      <c r="E10" s="7" t="s">
        <v>21</v>
      </c>
      <c r="F10" s="8" t="s">
        <v>59</v>
      </c>
      <c r="G10" s="8" t="s">
        <v>60</v>
      </c>
      <c r="H10" s="8">
        <v>3</v>
      </c>
      <c r="I10" s="8" t="s">
        <v>61</v>
      </c>
      <c r="J10" s="8">
        <v>3</v>
      </c>
      <c r="K10" s="8" t="s">
        <v>53</v>
      </c>
      <c r="L10" s="8">
        <v>3</v>
      </c>
      <c r="M10" s="8" t="s">
        <v>26</v>
      </c>
      <c r="N10" s="8">
        <v>3</v>
      </c>
      <c r="O10" s="8" t="s">
        <v>27</v>
      </c>
      <c r="P10" s="8">
        <v>3</v>
      </c>
      <c r="Q10" s="8" t="s">
        <v>35</v>
      </c>
      <c r="R10" s="8">
        <f t="shared" si="0"/>
        <v>88</v>
      </c>
      <c r="S10" s="9"/>
      <c r="U10" s="19" t="s">
        <v>61</v>
      </c>
    </row>
    <row r="11" s="19" customFormat="1" ht="22" customHeight="1" spans="1:21">
      <c r="A11" s="8">
        <v>10</v>
      </c>
      <c r="B11" s="7">
        <v>1</v>
      </c>
      <c r="C11" s="7" t="s">
        <v>19</v>
      </c>
      <c r="D11" s="7" t="s">
        <v>20</v>
      </c>
      <c r="E11" s="7" t="s">
        <v>21</v>
      </c>
      <c r="F11" s="8" t="s">
        <v>62</v>
      </c>
      <c r="G11" s="8" t="s">
        <v>63</v>
      </c>
      <c r="H11" s="8">
        <v>3</v>
      </c>
      <c r="I11" s="8" t="s">
        <v>40</v>
      </c>
      <c r="J11" s="8">
        <v>3</v>
      </c>
      <c r="K11" s="8" t="s">
        <v>25</v>
      </c>
      <c r="L11" s="8">
        <v>3</v>
      </c>
      <c r="M11" s="8" t="s">
        <v>26</v>
      </c>
      <c r="N11" s="8">
        <v>3</v>
      </c>
      <c r="O11" s="8" t="s">
        <v>34</v>
      </c>
      <c r="P11" s="8">
        <v>3</v>
      </c>
      <c r="Q11" s="8" t="s">
        <v>45</v>
      </c>
      <c r="R11" s="8">
        <f t="shared" si="0"/>
        <v>88</v>
      </c>
      <c r="S11" s="9"/>
      <c r="U11" s="19" t="s">
        <v>64</v>
      </c>
    </row>
    <row r="12" s="19" customFormat="1" ht="22" customHeight="1" spans="1:21">
      <c r="A12" s="8">
        <v>11</v>
      </c>
      <c r="B12" s="7">
        <v>1</v>
      </c>
      <c r="C12" s="7" t="s">
        <v>19</v>
      </c>
      <c r="D12" s="7" t="s">
        <v>20</v>
      </c>
      <c r="E12" s="7" t="s">
        <v>21</v>
      </c>
      <c r="F12" s="8" t="s">
        <v>65</v>
      </c>
      <c r="G12" s="8" t="s">
        <v>66</v>
      </c>
      <c r="H12" s="8">
        <v>3</v>
      </c>
      <c r="I12" s="8" t="s">
        <v>54</v>
      </c>
      <c r="J12" s="8">
        <v>3</v>
      </c>
      <c r="K12" s="8" t="s">
        <v>67</v>
      </c>
      <c r="L12" s="8">
        <v>3</v>
      </c>
      <c r="M12" s="8" t="s">
        <v>67</v>
      </c>
      <c r="N12" s="8">
        <v>3</v>
      </c>
      <c r="O12" s="8" t="s">
        <v>27</v>
      </c>
      <c r="P12" s="8">
        <v>3</v>
      </c>
      <c r="Q12" s="8" t="s">
        <v>35</v>
      </c>
      <c r="R12" s="8">
        <f t="shared" si="0"/>
        <v>88</v>
      </c>
      <c r="S12" s="9"/>
    </row>
    <row r="13" s="19" customFormat="1" ht="22" customHeight="1" spans="1:21">
      <c r="A13" s="8">
        <v>12</v>
      </c>
      <c r="B13" s="7">
        <v>1</v>
      </c>
      <c r="C13" s="7" t="s">
        <v>19</v>
      </c>
      <c r="D13" s="7" t="s">
        <v>20</v>
      </c>
      <c r="E13" s="7" t="s">
        <v>21</v>
      </c>
      <c r="F13" s="8" t="s">
        <v>68</v>
      </c>
      <c r="G13" s="8" t="s">
        <v>69</v>
      </c>
      <c r="H13" s="8">
        <v>3</v>
      </c>
      <c r="I13" s="8" t="s">
        <v>29</v>
      </c>
      <c r="J13" s="8">
        <v>3</v>
      </c>
      <c r="K13" s="8" t="s">
        <v>33</v>
      </c>
      <c r="L13" s="8">
        <v>3</v>
      </c>
      <c r="M13" s="8" t="s">
        <v>25</v>
      </c>
      <c r="N13" s="8">
        <v>3</v>
      </c>
      <c r="O13" s="8" t="s">
        <v>34</v>
      </c>
      <c r="P13" s="8">
        <v>3</v>
      </c>
      <c r="Q13" s="8" t="s">
        <v>45</v>
      </c>
      <c r="R13" s="8">
        <f t="shared" si="0"/>
        <v>88</v>
      </c>
      <c r="S13" s="9"/>
      <c r="U13" s="19" t="s">
        <v>67</v>
      </c>
    </row>
    <row r="14" s="19" customFormat="1" ht="22" customHeight="1" spans="1:21">
      <c r="A14" s="8">
        <v>13</v>
      </c>
      <c r="B14" s="7">
        <v>1</v>
      </c>
      <c r="C14" s="7" t="s">
        <v>19</v>
      </c>
      <c r="D14" s="7" t="s">
        <v>20</v>
      </c>
      <c r="E14" s="7" t="s">
        <v>21</v>
      </c>
      <c r="F14" s="8" t="s">
        <v>70</v>
      </c>
      <c r="G14" s="8" t="s">
        <v>71</v>
      </c>
      <c r="H14" s="8">
        <v>3</v>
      </c>
      <c r="I14" s="8" t="s">
        <v>40</v>
      </c>
      <c r="J14" s="8">
        <v>3</v>
      </c>
      <c r="K14" s="8" t="s">
        <v>26</v>
      </c>
      <c r="L14" s="8">
        <v>3</v>
      </c>
      <c r="M14" s="8" t="s">
        <v>49</v>
      </c>
      <c r="N14" s="8">
        <v>3</v>
      </c>
      <c r="O14" s="8" t="s">
        <v>27</v>
      </c>
      <c r="P14" s="8">
        <v>3</v>
      </c>
      <c r="Q14" s="8" t="s">
        <v>35</v>
      </c>
      <c r="R14" s="8">
        <f t="shared" si="0"/>
        <v>88</v>
      </c>
      <c r="S14" s="9"/>
      <c r="U14" s="19" t="s">
        <v>49</v>
      </c>
    </row>
    <row r="15" s="19" customFormat="1" ht="22" customHeight="1" spans="1:21">
      <c r="A15" s="8">
        <v>14</v>
      </c>
      <c r="B15" s="7">
        <v>1</v>
      </c>
      <c r="C15" s="7" t="s">
        <v>19</v>
      </c>
      <c r="D15" s="7" t="s">
        <v>20</v>
      </c>
      <c r="E15" s="7" t="s">
        <v>21</v>
      </c>
      <c r="F15" s="8" t="s">
        <v>72</v>
      </c>
      <c r="G15" s="8" t="s">
        <v>73</v>
      </c>
      <c r="H15" s="8">
        <v>4</v>
      </c>
      <c r="I15" s="8" t="s">
        <v>61</v>
      </c>
      <c r="J15" s="8">
        <v>2</v>
      </c>
      <c r="K15" s="8" t="s">
        <v>33</v>
      </c>
      <c r="L15" s="8">
        <v>4</v>
      </c>
      <c r="M15" s="8" t="s">
        <v>33</v>
      </c>
      <c r="N15" s="8">
        <v>4</v>
      </c>
      <c r="O15" s="8" t="s">
        <v>44</v>
      </c>
      <c r="P15" s="8">
        <v>4</v>
      </c>
      <c r="Q15" s="8" t="s">
        <v>28</v>
      </c>
      <c r="R15" s="8">
        <f t="shared" si="0"/>
        <v>86</v>
      </c>
      <c r="S15" s="9"/>
      <c r="U15" s="19" t="s">
        <v>33</v>
      </c>
    </row>
    <row r="16" s="19" customFormat="1" ht="22" customHeight="1" spans="1:21">
      <c r="A16" s="8">
        <v>15</v>
      </c>
      <c r="B16" s="7">
        <v>1</v>
      </c>
      <c r="C16" s="7" t="s">
        <v>19</v>
      </c>
      <c r="D16" s="7" t="s">
        <v>20</v>
      </c>
      <c r="E16" s="7" t="s">
        <v>21</v>
      </c>
      <c r="F16" s="8" t="s">
        <v>74</v>
      </c>
      <c r="G16" s="8" t="s">
        <v>75</v>
      </c>
      <c r="H16" s="8">
        <v>3</v>
      </c>
      <c r="I16" s="8" t="s">
        <v>40</v>
      </c>
      <c r="J16" s="8">
        <v>4</v>
      </c>
      <c r="K16" s="8" t="s">
        <v>33</v>
      </c>
      <c r="L16" s="8">
        <v>3</v>
      </c>
      <c r="M16" s="8" t="s">
        <v>49</v>
      </c>
      <c r="N16" s="8">
        <v>3</v>
      </c>
      <c r="O16" s="8" t="s">
        <v>34</v>
      </c>
      <c r="P16" s="8">
        <v>3</v>
      </c>
      <c r="Q16" s="8" t="s">
        <v>35</v>
      </c>
      <c r="R16" s="8">
        <f t="shared" si="0"/>
        <v>87</v>
      </c>
      <c r="S16" s="9"/>
      <c r="U16" s="19" t="s">
        <v>26</v>
      </c>
    </row>
    <row r="17" s="19" customFormat="1" ht="22" customHeight="1" spans="1:21">
      <c r="A17" s="8">
        <v>16</v>
      </c>
      <c r="B17" s="7">
        <v>1</v>
      </c>
      <c r="C17" s="7" t="s">
        <v>19</v>
      </c>
      <c r="D17" s="7" t="s">
        <v>20</v>
      </c>
      <c r="E17" s="7" t="s">
        <v>21</v>
      </c>
      <c r="F17" s="8" t="s">
        <v>76</v>
      </c>
      <c r="G17" s="8" t="s">
        <v>77</v>
      </c>
      <c r="H17" s="8">
        <v>2</v>
      </c>
      <c r="I17" s="8" t="s">
        <v>36</v>
      </c>
      <c r="J17" s="8">
        <v>2</v>
      </c>
      <c r="K17" s="8" t="s">
        <v>49</v>
      </c>
      <c r="L17" s="8">
        <v>2</v>
      </c>
      <c r="M17" s="8" t="s">
        <v>67</v>
      </c>
      <c r="N17" s="8">
        <v>2</v>
      </c>
      <c r="O17" s="8" t="s">
        <v>78</v>
      </c>
      <c r="P17" s="8">
        <v>2</v>
      </c>
      <c r="Q17" s="8" t="s">
        <v>45</v>
      </c>
      <c r="R17" s="8">
        <f t="shared" si="0"/>
        <v>92</v>
      </c>
      <c r="S17" s="9"/>
      <c r="U17" s="19" t="s">
        <v>25</v>
      </c>
    </row>
    <row r="18" s="19" customFormat="1" ht="22" customHeight="1" spans="1:21">
      <c r="A18" s="8">
        <v>17</v>
      </c>
      <c r="B18" s="7">
        <v>1</v>
      </c>
      <c r="C18" s="7" t="s">
        <v>19</v>
      </c>
      <c r="D18" s="7" t="s">
        <v>20</v>
      </c>
      <c r="E18" s="7" t="s">
        <v>21</v>
      </c>
      <c r="F18" s="8" t="s">
        <v>79</v>
      </c>
      <c r="G18" s="8" t="s">
        <v>80</v>
      </c>
      <c r="H18" s="8">
        <v>3</v>
      </c>
      <c r="I18" s="8" t="s">
        <v>40</v>
      </c>
      <c r="J18" s="8">
        <v>2</v>
      </c>
      <c r="K18" s="8" t="s">
        <v>49</v>
      </c>
      <c r="L18" s="8">
        <v>3</v>
      </c>
      <c r="M18" s="8" t="s">
        <v>25</v>
      </c>
      <c r="N18" s="8">
        <v>3</v>
      </c>
      <c r="O18" s="8" t="s">
        <v>44</v>
      </c>
      <c r="P18" s="8">
        <v>3</v>
      </c>
      <c r="Q18" s="8" t="s">
        <v>28</v>
      </c>
      <c r="R18" s="8">
        <f t="shared" si="0"/>
        <v>89</v>
      </c>
      <c r="S18" s="9"/>
      <c r="U18" s="19" t="s">
        <v>43</v>
      </c>
    </row>
    <row r="19" s="19" customFormat="1" ht="22" customHeight="1" spans="1:21">
      <c r="A19" s="8">
        <v>18</v>
      </c>
      <c r="B19" s="7">
        <v>1</v>
      </c>
      <c r="C19" s="7" t="s">
        <v>19</v>
      </c>
      <c r="D19" s="7" t="s">
        <v>20</v>
      </c>
      <c r="E19" s="7" t="s">
        <v>21</v>
      </c>
      <c r="F19" s="8" t="s">
        <v>81</v>
      </c>
      <c r="G19" s="8" t="s">
        <v>82</v>
      </c>
      <c r="H19" s="8">
        <v>3</v>
      </c>
      <c r="I19" s="8" t="s">
        <v>64</v>
      </c>
      <c r="J19" s="8">
        <v>3</v>
      </c>
      <c r="K19" s="8" t="s">
        <v>33</v>
      </c>
      <c r="L19" s="8">
        <v>3</v>
      </c>
      <c r="M19" s="8" t="s">
        <v>67</v>
      </c>
      <c r="N19" s="8">
        <v>3</v>
      </c>
      <c r="O19" s="8" t="s">
        <v>78</v>
      </c>
      <c r="P19" s="8">
        <v>3</v>
      </c>
      <c r="Q19" s="8" t="s">
        <v>35</v>
      </c>
      <c r="R19" s="8">
        <f t="shared" si="0"/>
        <v>88</v>
      </c>
      <c r="S19" s="9"/>
      <c r="U19" s="19" t="s">
        <v>53</v>
      </c>
    </row>
    <row r="20" s="19" customFormat="1" ht="22" customHeight="1" spans="1:21">
      <c r="A20" s="8">
        <v>19</v>
      </c>
      <c r="B20" s="7">
        <v>1</v>
      </c>
      <c r="C20" s="7" t="s">
        <v>19</v>
      </c>
      <c r="D20" s="7" t="s">
        <v>20</v>
      </c>
      <c r="E20" s="7" t="s">
        <v>21</v>
      </c>
      <c r="F20" s="8" t="s">
        <v>83</v>
      </c>
      <c r="G20" s="8" t="s">
        <v>84</v>
      </c>
      <c r="H20" s="8">
        <v>4</v>
      </c>
      <c r="I20" s="8" t="s">
        <v>40</v>
      </c>
      <c r="J20" s="8">
        <v>4</v>
      </c>
      <c r="K20" s="8" t="s">
        <v>25</v>
      </c>
      <c r="L20" s="8">
        <v>4</v>
      </c>
      <c r="M20" s="8" t="s">
        <v>49</v>
      </c>
      <c r="N20" s="8">
        <v>4</v>
      </c>
      <c r="O20" s="8" t="s">
        <v>34</v>
      </c>
      <c r="P20" s="8">
        <v>4</v>
      </c>
      <c r="Q20" s="8" t="s">
        <v>28</v>
      </c>
      <c r="R20" s="8">
        <f t="shared" si="0"/>
        <v>84</v>
      </c>
      <c r="S20" s="9"/>
      <c r="U20" s="19" t="s">
        <v>85</v>
      </c>
    </row>
    <row r="21" s="19" customFormat="1" ht="22" customHeight="1" spans="1:21">
      <c r="A21" s="8">
        <v>20</v>
      </c>
      <c r="B21" s="7">
        <v>1</v>
      </c>
      <c r="C21" s="7" t="s">
        <v>19</v>
      </c>
      <c r="D21" s="7" t="s">
        <v>20</v>
      </c>
      <c r="E21" s="7" t="s">
        <v>21</v>
      </c>
      <c r="F21" s="8" t="s">
        <v>86</v>
      </c>
      <c r="G21" s="8" t="s">
        <v>87</v>
      </c>
      <c r="H21" s="8">
        <v>3</v>
      </c>
      <c r="I21" s="8" t="s">
        <v>36</v>
      </c>
      <c r="J21" s="8">
        <v>3</v>
      </c>
      <c r="K21" s="8" t="s">
        <v>33</v>
      </c>
      <c r="L21" s="8">
        <v>3</v>
      </c>
      <c r="M21" s="8" t="s">
        <v>43</v>
      </c>
      <c r="N21" s="8">
        <v>3</v>
      </c>
      <c r="O21" s="8" t="s">
        <v>27</v>
      </c>
      <c r="P21" s="8">
        <v>3</v>
      </c>
      <c r="Q21" s="8" t="s">
        <v>35</v>
      </c>
      <c r="R21" s="8">
        <f t="shared" si="0"/>
        <v>88</v>
      </c>
      <c r="S21" s="9"/>
    </row>
    <row r="22" s="19" customFormat="1" ht="22" customHeight="1" spans="1:21">
      <c r="A22" s="8">
        <v>21</v>
      </c>
      <c r="B22" s="7">
        <v>1</v>
      </c>
      <c r="C22" s="7" t="s">
        <v>19</v>
      </c>
      <c r="D22" s="7" t="s">
        <v>20</v>
      </c>
      <c r="E22" s="7" t="s">
        <v>21</v>
      </c>
      <c r="F22" s="8" t="s">
        <v>88</v>
      </c>
      <c r="G22" s="8" t="s">
        <v>89</v>
      </c>
      <c r="H22" s="8">
        <v>3</v>
      </c>
      <c r="I22" s="8" t="s">
        <v>61</v>
      </c>
      <c r="J22" s="8">
        <v>3</v>
      </c>
      <c r="K22" s="8" t="s">
        <v>43</v>
      </c>
      <c r="L22" s="8">
        <v>3</v>
      </c>
      <c r="M22" s="8" t="s">
        <v>25</v>
      </c>
      <c r="N22" s="8">
        <v>3</v>
      </c>
      <c r="O22" s="8" t="s">
        <v>44</v>
      </c>
      <c r="P22" s="8">
        <v>3</v>
      </c>
      <c r="Q22" s="8" t="s">
        <v>28</v>
      </c>
      <c r="R22" s="8">
        <f t="shared" si="0"/>
        <v>88</v>
      </c>
      <c r="S22" s="9"/>
      <c r="U22" s="19" t="s">
        <v>78</v>
      </c>
    </row>
    <row r="23" s="19" customFormat="1" ht="22" customHeight="1" spans="1:21">
      <c r="A23" s="8">
        <v>22</v>
      </c>
      <c r="B23" s="7">
        <v>1</v>
      </c>
      <c r="C23" s="7" t="s">
        <v>19</v>
      </c>
      <c r="D23" s="7" t="s">
        <v>20</v>
      </c>
      <c r="E23" s="7" t="s">
        <v>21</v>
      </c>
      <c r="F23" s="8" t="s">
        <v>90</v>
      </c>
      <c r="G23" s="8" t="s">
        <v>91</v>
      </c>
      <c r="H23" s="8">
        <v>4</v>
      </c>
      <c r="I23" s="8" t="s">
        <v>40</v>
      </c>
      <c r="J23" s="8">
        <v>4</v>
      </c>
      <c r="K23" s="8" t="s">
        <v>33</v>
      </c>
      <c r="L23" s="8">
        <v>4</v>
      </c>
      <c r="M23" s="8" t="s">
        <v>67</v>
      </c>
      <c r="N23" s="8">
        <v>4</v>
      </c>
      <c r="O23" s="8" t="s">
        <v>34</v>
      </c>
      <c r="P23" s="8">
        <v>4</v>
      </c>
      <c r="Q23" s="8" t="s">
        <v>28</v>
      </c>
      <c r="R23" s="8">
        <f t="shared" si="0"/>
        <v>84</v>
      </c>
      <c r="S23" s="9"/>
      <c r="U23" s="19" t="s">
        <v>44</v>
      </c>
    </row>
    <row r="24" s="19" customFormat="1" ht="22" customHeight="1" spans="1:21">
      <c r="A24" s="8">
        <v>23</v>
      </c>
      <c r="B24" s="7">
        <v>1</v>
      </c>
      <c r="C24" s="7" t="s">
        <v>19</v>
      </c>
      <c r="D24" s="7" t="s">
        <v>20</v>
      </c>
      <c r="E24" s="7" t="s">
        <v>21</v>
      </c>
      <c r="F24" s="8" t="s">
        <v>92</v>
      </c>
      <c r="G24" s="8" t="s">
        <v>93</v>
      </c>
      <c r="H24" s="8">
        <v>2</v>
      </c>
      <c r="I24" s="8" t="s">
        <v>54</v>
      </c>
      <c r="J24" s="8">
        <v>2</v>
      </c>
      <c r="K24" s="8" t="s">
        <v>67</v>
      </c>
      <c r="L24" s="8">
        <v>2</v>
      </c>
      <c r="M24" s="8" t="s">
        <v>67</v>
      </c>
      <c r="N24" s="8">
        <v>2</v>
      </c>
      <c r="O24" s="8" t="s">
        <v>27</v>
      </c>
      <c r="P24" s="8">
        <v>2</v>
      </c>
      <c r="Q24" s="8" t="s">
        <v>35</v>
      </c>
      <c r="R24" s="8">
        <f t="shared" si="0"/>
        <v>92</v>
      </c>
      <c r="S24" s="9"/>
      <c r="U24" s="19" t="s">
        <v>34</v>
      </c>
    </row>
    <row r="25" s="19" customFormat="1" ht="22" customHeight="1" spans="1:21">
      <c r="A25" s="8">
        <v>24</v>
      </c>
      <c r="B25" s="7">
        <v>1</v>
      </c>
      <c r="C25" s="7" t="s">
        <v>19</v>
      </c>
      <c r="D25" s="7" t="s">
        <v>20</v>
      </c>
      <c r="E25" s="7" t="s">
        <v>21</v>
      </c>
      <c r="F25" s="8" t="s">
        <v>94</v>
      </c>
      <c r="G25" s="8" t="s">
        <v>95</v>
      </c>
      <c r="H25" s="8">
        <v>3</v>
      </c>
      <c r="I25" s="8" t="s">
        <v>39</v>
      </c>
      <c r="J25" s="8">
        <v>2</v>
      </c>
      <c r="K25" s="8" t="s">
        <v>43</v>
      </c>
      <c r="L25" s="8">
        <v>3</v>
      </c>
      <c r="M25" s="8" t="s">
        <v>25</v>
      </c>
      <c r="N25" s="8">
        <v>3</v>
      </c>
      <c r="O25" s="8" t="s">
        <v>34</v>
      </c>
      <c r="P25" s="8">
        <v>3</v>
      </c>
      <c r="Q25" s="8" t="s">
        <v>28</v>
      </c>
      <c r="R25" s="8">
        <f t="shared" si="0"/>
        <v>89</v>
      </c>
      <c r="S25" s="9"/>
      <c r="U25" s="19" t="s">
        <v>27</v>
      </c>
    </row>
    <row r="26" s="19" customFormat="1" ht="22" customHeight="1" spans="1:21">
      <c r="A26" s="8">
        <v>25</v>
      </c>
      <c r="B26" s="7">
        <v>1</v>
      </c>
      <c r="C26" s="7" t="s">
        <v>19</v>
      </c>
      <c r="D26" s="7" t="s">
        <v>20</v>
      </c>
      <c r="E26" s="7" t="s">
        <v>21</v>
      </c>
      <c r="F26" s="22" t="s">
        <v>96</v>
      </c>
      <c r="G26" s="8" t="s">
        <v>97</v>
      </c>
      <c r="H26" s="8">
        <v>3</v>
      </c>
      <c r="I26" s="8" t="s">
        <v>46</v>
      </c>
      <c r="J26" s="8">
        <v>3</v>
      </c>
      <c r="K26" s="8" t="s">
        <v>25</v>
      </c>
      <c r="L26" s="8">
        <v>3</v>
      </c>
      <c r="M26" s="8" t="s">
        <v>49</v>
      </c>
      <c r="N26" s="8">
        <v>3</v>
      </c>
      <c r="O26" s="8" t="s">
        <v>44</v>
      </c>
      <c r="P26" s="8">
        <v>3</v>
      </c>
      <c r="Q26" s="8" t="s">
        <v>45</v>
      </c>
      <c r="R26" s="8">
        <f t="shared" si="0"/>
        <v>88</v>
      </c>
      <c r="S26" s="9"/>
    </row>
    <row r="27" spans="1:21">
      <c r="U27" s="6" t="s">
        <v>98</v>
      </c>
    </row>
    <row r="28" spans="1:21">
      <c r="U28" s="6" t="s">
        <v>99</v>
      </c>
    </row>
    <row r="29" spans="1:21">
      <c r="U29" s="6" t="s">
        <v>100</v>
      </c>
    </row>
    <row r="30" ht="15.5" spans="1:21">
      <c r="U30" s="21" t="s">
        <v>101</v>
      </c>
    </row>
    <row r="32" spans="1:21">
      <c r="U32" s="6" t="s">
        <v>35</v>
      </c>
    </row>
    <row r="33" spans="21:21">
      <c r="U33" s="6" t="s">
        <v>28</v>
      </c>
    </row>
    <row r="34" spans="21:21">
      <c r="U34" s="6" t="s">
        <v>45</v>
      </c>
    </row>
  </sheetData>
  <dataValidations count="5">
    <dataValidation type="list" allowBlank="1" showInputMessage="1" sqref="I2:I26">
      <formula1>$U$2:$U$11</formula1>
    </dataValidation>
    <dataValidation type="list" allowBlank="1" showInputMessage="1" showErrorMessage="1" sqref="K2:K26">
      <formula1>$U$13:$U$20</formula1>
    </dataValidation>
    <dataValidation type="list" allowBlank="1" showInputMessage="1" showErrorMessage="1" sqref="M2:M26">
      <formula1>$U$13:$U$18</formula1>
    </dataValidation>
    <dataValidation type="list" allowBlank="1" showInputMessage="1" sqref="O2:O26">
      <formula1>$U$22:$U$25</formula1>
    </dataValidation>
    <dataValidation type="list" allowBlank="1" showInputMessage="1" sqref="Q2:Q26">
      <formula1>$U$32:$U$34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"/>
  <sheetViews>
    <sheetView workbookViewId="0">
      <selection activeCell="B1" sqref="B$1:B$1048576"/>
    </sheetView>
  </sheetViews>
  <sheetFormatPr defaultColWidth="9" defaultRowHeight="14"/>
  <cols>
    <col min="1" max="1" width="7.90909090909091" style="9" customWidth="1"/>
    <col min="2" max="2" width="8.54545454545454" style="2" customWidth="1"/>
    <col min="3" max="3" width="13.6272727272727" style="2" customWidth="1"/>
    <col min="4" max="4" width="14.6272727272727" style="2" customWidth="1"/>
    <col min="5" max="5" width="13.7545454545455" style="2" customWidth="1"/>
    <col min="6" max="6" width="12.2727272727273" style="2" customWidth="1"/>
    <col min="7" max="7" width="15.7272727272727" style="2" customWidth="1"/>
    <col min="8" max="8" width="6.90909090909091" style="2" customWidth="1"/>
    <col min="9" max="9" width="23.7272727272727" style="2" customWidth="1"/>
    <col min="10" max="10" width="6.90909090909091" style="2" customWidth="1"/>
    <col min="11" max="11" width="23.7272727272727" style="2" customWidth="1"/>
    <col min="12" max="12" width="6.90909090909091" style="2" customWidth="1"/>
    <col min="13" max="13" width="23.7272727272727" style="2" customWidth="1"/>
    <col min="14" max="14" width="6.90909090909091" style="2" customWidth="1"/>
    <col min="15" max="15" width="23.7272727272727" style="2" customWidth="1"/>
    <col min="16" max="16" width="6.90909090909091" style="2" customWidth="1"/>
    <col min="17" max="17" width="23.7272727272727" style="2" customWidth="1"/>
    <col min="18" max="18" width="6.90909090909091" style="2" customWidth="1"/>
    <col min="19" max="16384" width="9" style="2"/>
  </cols>
  <sheetData>
    <row r="1" s="15" customFormat="1" ht="23" customHeight="1" spans="1:21">
      <c r="A1" s="1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17"/>
      <c r="U1" s="15" t="s">
        <v>18</v>
      </c>
    </row>
    <row r="2" s="10" customFormat="1" ht="16.35" customHeight="1" spans="1:21">
      <c r="A2" s="8">
        <v>1</v>
      </c>
      <c r="B2" s="7">
        <v>1</v>
      </c>
      <c r="C2" s="7" t="s">
        <v>19</v>
      </c>
      <c r="D2" s="7" t="s">
        <v>20</v>
      </c>
      <c r="E2" s="7" t="s">
        <v>21</v>
      </c>
      <c r="F2" s="8" t="s">
        <v>102</v>
      </c>
      <c r="G2" s="8" t="s">
        <v>103</v>
      </c>
      <c r="H2" s="8">
        <v>2</v>
      </c>
      <c r="I2" s="8" t="s">
        <v>24</v>
      </c>
      <c r="J2" s="8">
        <v>2</v>
      </c>
      <c r="K2" s="8" t="s">
        <v>25</v>
      </c>
      <c r="L2" s="8">
        <v>2</v>
      </c>
      <c r="M2" s="8" t="s">
        <v>26</v>
      </c>
      <c r="N2" s="8">
        <v>2</v>
      </c>
      <c r="O2" s="8" t="s">
        <v>27</v>
      </c>
      <c r="P2" s="8">
        <v>2</v>
      </c>
      <c r="Q2" s="8" t="s">
        <v>28</v>
      </c>
      <c r="R2" s="8">
        <f t="shared" ref="R2:R26" si="0">100-J2-L2-N2-P2</f>
        <v>92</v>
      </c>
      <c r="S2" s="9"/>
      <c r="T2" s="10"/>
      <c r="U2" s="10" t="s">
        <v>29</v>
      </c>
    </row>
    <row r="3" s="10" customFormat="1" ht="16.35" customHeight="1" spans="1:21">
      <c r="A3" s="8">
        <v>2</v>
      </c>
      <c r="B3" s="7">
        <v>1</v>
      </c>
      <c r="C3" s="7" t="s">
        <v>19</v>
      </c>
      <c r="D3" s="7" t="s">
        <v>20</v>
      </c>
      <c r="E3" s="7" t="s">
        <v>21</v>
      </c>
      <c r="F3" s="8" t="s">
        <v>104</v>
      </c>
      <c r="G3" s="8" t="s">
        <v>105</v>
      </c>
      <c r="H3" s="8">
        <v>3</v>
      </c>
      <c r="I3" s="8" t="s">
        <v>32</v>
      </c>
      <c r="J3" s="8">
        <v>4</v>
      </c>
      <c r="K3" s="8" t="s">
        <v>33</v>
      </c>
      <c r="L3" s="8">
        <v>3</v>
      </c>
      <c r="M3" s="8" t="s">
        <v>26</v>
      </c>
      <c r="N3" s="8">
        <v>3</v>
      </c>
      <c r="O3" s="8" t="s">
        <v>34</v>
      </c>
      <c r="P3" s="8">
        <v>3</v>
      </c>
      <c r="Q3" s="8" t="s">
        <v>35</v>
      </c>
      <c r="R3" s="8">
        <f t="shared" si="0"/>
        <v>87</v>
      </c>
      <c r="S3" s="9"/>
      <c r="T3" s="10"/>
      <c r="U3" s="10" t="s">
        <v>36</v>
      </c>
    </row>
    <row r="4" s="10" customFormat="1" ht="16.35" customHeight="1" spans="1:21">
      <c r="A4" s="8">
        <v>3</v>
      </c>
      <c r="B4" s="7">
        <v>1</v>
      </c>
      <c r="C4" s="7" t="s">
        <v>19</v>
      </c>
      <c r="D4" s="7" t="s">
        <v>20</v>
      </c>
      <c r="E4" s="7" t="s">
        <v>21</v>
      </c>
      <c r="F4" s="8" t="s">
        <v>106</v>
      </c>
      <c r="G4" s="8" t="s">
        <v>107</v>
      </c>
      <c r="H4" s="8">
        <v>4</v>
      </c>
      <c r="I4" s="8" t="s">
        <v>39</v>
      </c>
      <c r="J4" s="8">
        <v>4</v>
      </c>
      <c r="K4" s="8" t="s">
        <v>25</v>
      </c>
      <c r="L4" s="8">
        <v>4</v>
      </c>
      <c r="M4" s="8" t="s">
        <v>33</v>
      </c>
      <c r="N4" s="8">
        <v>4</v>
      </c>
      <c r="O4" s="8" t="s">
        <v>27</v>
      </c>
      <c r="P4" s="8">
        <v>4</v>
      </c>
      <c r="Q4" s="8" t="s">
        <v>28</v>
      </c>
      <c r="R4" s="8">
        <f t="shared" si="0"/>
        <v>84</v>
      </c>
      <c r="S4" s="9"/>
      <c r="T4" s="10"/>
      <c r="U4" s="10" t="s">
        <v>40</v>
      </c>
    </row>
    <row r="5" s="10" customFormat="1" ht="16.35" customHeight="1" spans="1:21">
      <c r="A5" s="8">
        <v>4</v>
      </c>
      <c r="B5" s="7">
        <v>1</v>
      </c>
      <c r="C5" s="7" t="s">
        <v>19</v>
      </c>
      <c r="D5" s="7" t="s">
        <v>20</v>
      </c>
      <c r="E5" s="7" t="s">
        <v>21</v>
      </c>
      <c r="F5" s="8" t="s">
        <v>108</v>
      </c>
      <c r="G5" s="8" t="s">
        <v>109</v>
      </c>
      <c r="H5" s="8">
        <v>4</v>
      </c>
      <c r="I5" s="8" t="s">
        <v>36</v>
      </c>
      <c r="J5" s="8">
        <v>4</v>
      </c>
      <c r="K5" s="8" t="s">
        <v>43</v>
      </c>
      <c r="L5" s="8">
        <v>4</v>
      </c>
      <c r="M5" s="8" t="s">
        <v>25</v>
      </c>
      <c r="N5" s="8">
        <v>4</v>
      </c>
      <c r="O5" s="8" t="s">
        <v>44</v>
      </c>
      <c r="P5" s="8">
        <v>4</v>
      </c>
      <c r="Q5" s="8" t="s">
        <v>45</v>
      </c>
      <c r="R5" s="8">
        <f t="shared" si="0"/>
        <v>84</v>
      </c>
      <c r="S5" s="9"/>
      <c r="T5" s="10"/>
      <c r="U5" s="10" t="s">
        <v>46</v>
      </c>
    </row>
    <row r="6" s="10" customFormat="1" ht="16.35" customHeight="1" spans="1:21">
      <c r="A6" s="8">
        <v>5</v>
      </c>
      <c r="B6" s="7">
        <v>1</v>
      </c>
      <c r="C6" s="7" t="s">
        <v>19</v>
      </c>
      <c r="D6" s="7" t="s">
        <v>20</v>
      </c>
      <c r="E6" s="7" t="s">
        <v>21</v>
      </c>
      <c r="F6" s="8" t="s">
        <v>110</v>
      </c>
      <c r="G6" s="8" t="s">
        <v>111</v>
      </c>
      <c r="H6" s="8">
        <v>3</v>
      </c>
      <c r="I6" s="8" t="s">
        <v>24</v>
      </c>
      <c r="J6" s="8">
        <v>2</v>
      </c>
      <c r="K6" s="8" t="s">
        <v>49</v>
      </c>
      <c r="L6" s="8">
        <v>3</v>
      </c>
      <c r="M6" s="8" t="s">
        <v>49</v>
      </c>
      <c r="N6" s="8">
        <v>3</v>
      </c>
      <c r="O6" s="8" t="s">
        <v>34</v>
      </c>
      <c r="P6" s="8">
        <v>3</v>
      </c>
      <c r="Q6" s="8" t="s">
        <v>35</v>
      </c>
      <c r="R6" s="8">
        <f t="shared" si="0"/>
        <v>89</v>
      </c>
      <c r="S6" s="9"/>
      <c r="T6" s="10"/>
      <c r="U6" s="10" t="s">
        <v>24</v>
      </c>
    </row>
    <row r="7" s="10" customFormat="1" ht="16.35" customHeight="1" spans="1:21">
      <c r="A7" s="8">
        <v>6</v>
      </c>
      <c r="B7" s="7">
        <v>1</v>
      </c>
      <c r="C7" s="7" t="s">
        <v>19</v>
      </c>
      <c r="D7" s="7" t="s">
        <v>20</v>
      </c>
      <c r="E7" s="7" t="s">
        <v>21</v>
      </c>
      <c r="F7" s="8" t="s">
        <v>112</v>
      </c>
      <c r="G7" s="8" t="s">
        <v>113</v>
      </c>
      <c r="H7" s="8">
        <v>4</v>
      </c>
      <c r="I7" s="8" t="s">
        <v>52</v>
      </c>
      <c r="J7" s="8">
        <v>4</v>
      </c>
      <c r="K7" s="8" t="s">
        <v>53</v>
      </c>
      <c r="L7" s="8">
        <v>4</v>
      </c>
      <c r="M7" s="8" t="s">
        <v>25</v>
      </c>
      <c r="N7" s="8">
        <v>4</v>
      </c>
      <c r="O7" s="8" t="s">
        <v>27</v>
      </c>
      <c r="P7" s="8">
        <v>4</v>
      </c>
      <c r="Q7" s="8" t="s">
        <v>45</v>
      </c>
      <c r="R7" s="8">
        <f t="shared" si="0"/>
        <v>84</v>
      </c>
      <c r="S7" s="9"/>
      <c r="T7" s="10"/>
      <c r="U7" s="10" t="s">
        <v>54</v>
      </c>
    </row>
    <row r="8" s="10" customFormat="1" ht="16.35" customHeight="1" spans="1:21">
      <c r="A8" s="8">
        <v>7</v>
      </c>
      <c r="B8" s="7">
        <v>1</v>
      </c>
      <c r="C8" s="7" t="s">
        <v>19</v>
      </c>
      <c r="D8" s="7" t="s">
        <v>20</v>
      </c>
      <c r="E8" s="7" t="s">
        <v>21</v>
      </c>
      <c r="F8" s="8" t="s">
        <v>114</v>
      </c>
      <c r="G8" s="8" t="s">
        <v>115</v>
      </c>
      <c r="H8" s="8">
        <v>3</v>
      </c>
      <c r="I8" s="8" t="s">
        <v>24</v>
      </c>
      <c r="J8" s="8">
        <v>3</v>
      </c>
      <c r="K8" s="8" t="s">
        <v>33</v>
      </c>
      <c r="L8" s="8">
        <v>3</v>
      </c>
      <c r="M8" s="8" t="s">
        <v>26</v>
      </c>
      <c r="N8" s="8">
        <v>3</v>
      </c>
      <c r="O8" s="8" t="s">
        <v>44</v>
      </c>
      <c r="P8" s="8">
        <v>3</v>
      </c>
      <c r="Q8" s="8" t="s">
        <v>28</v>
      </c>
      <c r="R8" s="8">
        <f t="shared" si="0"/>
        <v>88</v>
      </c>
      <c r="S8" s="9"/>
      <c r="T8" s="10"/>
      <c r="U8" s="10" t="s">
        <v>39</v>
      </c>
    </row>
    <row r="9" s="10" customFormat="1" ht="16.35" customHeight="1" spans="1:21">
      <c r="A9" s="8">
        <v>8</v>
      </c>
      <c r="B9" s="7">
        <v>1</v>
      </c>
      <c r="C9" s="7" t="s">
        <v>19</v>
      </c>
      <c r="D9" s="7" t="s">
        <v>20</v>
      </c>
      <c r="E9" s="7" t="s">
        <v>21</v>
      </c>
      <c r="F9" s="8" t="s">
        <v>116</v>
      </c>
      <c r="G9" s="8" t="s">
        <v>117</v>
      </c>
      <c r="H9" s="8">
        <v>3</v>
      </c>
      <c r="I9" s="8" t="s">
        <v>36</v>
      </c>
      <c r="J9" s="8">
        <v>3</v>
      </c>
      <c r="K9" s="8" t="s">
        <v>49</v>
      </c>
      <c r="L9" s="8">
        <v>3</v>
      </c>
      <c r="M9" s="8" t="s">
        <v>33</v>
      </c>
      <c r="N9" s="8">
        <v>3</v>
      </c>
      <c r="O9" s="8" t="s">
        <v>34</v>
      </c>
      <c r="P9" s="8">
        <v>3</v>
      </c>
      <c r="Q9" s="8" t="s">
        <v>45</v>
      </c>
      <c r="R9" s="8">
        <f t="shared" si="0"/>
        <v>88</v>
      </c>
      <c r="S9" s="9"/>
      <c r="T9" s="10"/>
      <c r="U9" s="10" t="s">
        <v>52</v>
      </c>
    </row>
    <row r="10" s="10" customFormat="1" ht="16.35" customHeight="1" spans="1:21">
      <c r="A10" s="8">
        <v>9</v>
      </c>
      <c r="B10" s="7">
        <v>1</v>
      </c>
      <c r="C10" s="7" t="s">
        <v>19</v>
      </c>
      <c r="D10" s="7" t="s">
        <v>20</v>
      </c>
      <c r="E10" s="7" t="s">
        <v>21</v>
      </c>
      <c r="F10" s="8" t="s">
        <v>118</v>
      </c>
      <c r="G10" s="8" t="s">
        <v>119</v>
      </c>
      <c r="H10" s="8">
        <v>3</v>
      </c>
      <c r="I10" s="8" t="s">
        <v>61</v>
      </c>
      <c r="J10" s="8">
        <v>3</v>
      </c>
      <c r="K10" s="8" t="s">
        <v>53</v>
      </c>
      <c r="L10" s="8">
        <v>3</v>
      </c>
      <c r="M10" s="8" t="s">
        <v>26</v>
      </c>
      <c r="N10" s="8">
        <v>3</v>
      </c>
      <c r="O10" s="8" t="s">
        <v>27</v>
      </c>
      <c r="P10" s="8">
        <v>3</v>
      </c>
      <c r="Q10" s="8" t="s">
        <v>35</v>
      </c>
      <c r="R10" s="8">
        <f t="shared" si="0"/>
        <v>88</v>
      </c>
      <c r="S10" s="9"/>
      <c r="T10" s="10"/>
      <c r="U10" s="10" t="s">
        <v>61</v>
      </c>
    </row>
    <row r="11" s="10" customFormat="1" ht="16.35" customHeight="1" spans="1:21">
      <c r="A11" s="8">
        <v>10</v>
      </c>
      <c r="B11" s="7">
        <v>1</v>
      </c>
      <c r="C11" s="7" t="s">
        <v>19</v>
      </c>
      <c r="D11" s="7" t="s">
        <v>20</v>
      </c>
      <c r="E11" s="7" t="s">
        <v>21</v>
      </c>
      <c r="F11" s="8" t="s">
        <v>120</v>
      </c>
      <c r="G11" s="8" t="s">
        <v>121</v>
      </c>
      <c r="H11" s="8">
        <v>3</v>
      </c>
      <c r="I11" s="8" t="s">
        <v>40</v>
      </c>
      <c r="J11" s="8">
        <v>3</v>
      </c>
      <c r="K11" s="8" t="s">
        <v>25</v>
      </c>
      <c r="L11" s="8">
        <v>3</v>
      </c>
      <c r="M11" s="8" t="s">
        <v>26</v>
      </c>
      <c r="N11" s="8">
        <v>3</v>
      </c>
      <c r="O11" s="8" t="s">
        <v>34</v>
      </c>
      <c r="P11" s="8">
        <v>3</v>
      </c>
      <c r="Q11" s="8" t="s">
        <v>45</v>
      </c>
      <c r="R11" s="8">
        <f t="shared" si="0"/>
        <v>88</v>
      </c>
      <c r="S11" s="9"/>
      <c r="T11" s="10"/>
      <c r="U11" s="10" t="s">
        <v>64</v>
      </c>
    </row>
    <row r="12" s="10" customFormat="1" ht="16.35" customHeight="1" spans="1:21">
      <c r="A12" s="8">
        <v>11</v>
      </c>
      <c r="B12" s="7">
        <v>1</v>
      </c>
      <c r="C12" s="7" t="s">
        <v>19</v>
      </c>
      <c r="D12" s="7" t="s">
        <v>20</v>
      </c>
      <c r="E12" s="7" t="s">
        <v>21</v>
      </c>
      <c r="F12" s="8" t="s">
        <v>122</v>
      </c>
      <c r="G12" s="8" t="s">
        <v>123</v>
      </c>
      <c r="H12" s="8">
        <v>3</v>
      </c>
      <c r="I12" s="8" t="s">
        <v>54</v>
      </c>
      <c r="J12" s="8">
        <v>3</v>
      </c>
      <c r="K12" s="8" t="s">
        <v>67</v>
      </c>
      <c r="L12" s="8">
        <v>3</v>
      </c>
      <c r="M12" s="8" t="s">
        <v>67</v>
      </c>
      <c r="N12" s="8">
        <v>3</v>
      </c>
      <c r="O12" s="8" t="s">
        <v>27</v>
      </c>
      <c r="P12" s="8">
        <v>3</v>
      </c>
      <c r="Q12" s="8" t="s">
        <v>35</v>
      </c>
      <c r="R12" s="8">
        <f t="shared" si="0"/>
        <v>88</v>
      </c>
      <c r="S12" s="9"/>
    </row>
    <row r="13" s="10" customFormat="1" ht="16.35" customHeight="1" spans="1:21">
      <c r="A13" s="8">
        <v>12</v>
      </c>
      <c r="B13" s="7">
        <v>1</v>
      </c>
      <c r="C13" s="7" t="s">
        <v>19</v>
      </c>
      <c r="D13" s="7" t="s">
        <v>20</v>
      </c>
      <c r="E13" s="7" t="s">
        <v>21</v>
      </c>
      <c r="F13" s="8" t="s">
        <v>124</v>
      </c>
      <c r="G13" s="8" t="s">
        <v>125</v>
      </c>
      <c r="H13" s="8">
        <v>3</v>
      </c>
      <c r="I13" s="8" t="s">
        <v>29</v>
      </c>
      <c r="J13" s="8">
        <v>3</v>
      </c>
      <c r="K13" s="8" t="s">
        <v>33</v>
      </c>
      <c r="L13" s="8">
        <v>3</v>
      </c>
      <c r="M13" s="8" t="s">
        <v>25</v>
      </c>
      <c r="N13" s="8">
        <v>3</v>
      </c>
      <c r="O13" s="8" t="s">
        <v>34</v>
      </c>
      <c r="P13" s="8">
        <v>3</v>
      </c>
      <c r="Q13" s="8" t="s">
        <v>45</v>
      </c>
      <c r="R13" s="8">
        <f t="shared" si="0"/>
        <v>88</v>
      </c>
      <c r="S13" s="9"/>
      <c r="T13" s="10"/>
      <c r="U13" s="10" t="s">
        <v>67</v>
      </c>
    </row>
    <row r="14" s="10" customFormat="1" ht="16.35" customHeight="1" spans="1:21">
      <c r="A14" s="8">
        <v>13</v>
      </c>
      <c r="B14" s="7">
        <v>1</v>
      </c>
      <c r="C14" s="7" t="s">
        <v>19</v>
      </c>
      <c r="D14" s="7" t="s">
        <v>20</v>
      </c>
      <c r="E14" s="7" t="s">
        <v>21</v>
      </c>
      <c r="F14" s="8" t="s">
        <v>126</v>
      </c>
      <c r="G14" s="8" t="s">
        <v>127</v>
      </c>
      <c r="H14" s="8">
        <v>3</v>
      </c>
      <c r="I14" s="8" t="s">
        <v>40</v>
      </c>
      <c r="J14" s="8">
        <v>3</v>
      </c>
      <c r="K14" s="8" t="s">
        <v>26</v>
      </c>
      <c r="L14" s="8">
        <v>3</v>
      </c>
      <c r="M14" s="8" t="s">
        <v>49</v>
      </c>
      <c r="N14" s="8">
        <v>3</v>
      </c>
      <c r="O14" s="8" t="s">
        <v>27</v>
      </c>
      <c r="P14" s="8">
        <v>3</v>
      </c>
      <c r="Q14" s="8" t="s">
        <v>35</v>
      </c>
      <c r="R14" s="8">
        <f t="shared" si="0"/>
        <v>88</v>
      </c>
      <c r="S14" s="9"/>
      <c r="T14" s="10"/>
      <c r="U14" s="10" t="s">
        <v>49</v>
      </c>
    </row>
    <row r="15" s="10" customFormat="1" ht="16.35" customHeight="1" spans="1:21">
      <c r="A15" s="8">
        <v>14</v>
      </c>
      <c r="B15" s="7">
        <v>1</v>
      </c>
      <c r="C15" s="7" t="s">
        <v>19</v>
      </c>
      <c r="D15" s="7" t="s">
        <v>20</v>
      </c>
      <c r="E15" s="7" t="s">
        <v>21</v>
      </c>
      <c r="F15" s="8" t="s">
        <v>128</v>
      </c>
      <c r="G15" s="8" t="s">
        <v>129</v>
      </c>
      <c r="H15" s="8">
        <v>4</v>
      </c>
      <c r="I15" s="8" t="s">
        <v>61</v>
      </c>
      <c r="J15" s="8">
        <v>2</v>
      </c>
      <c r="K15" s="8" t="s">
        <v>33</v>
      </c>
      <c r="L15" s="8">
        <v>4</v>
      </c>
      <c r="M15" s="8" t="s">
        <v>33</v>
      </c>
      <c r="N15" s="8">
        <v>4</v>
      </c>
      <c r="O15" s="8" t="s">
        <v>44</v>
      </c>
      <c r="P15" s="8">
        <v>4</v>
      </c>
      <c r="Q15" s="8" t="s">
        <v>28</v>
      </c>
      <c r="R15" s="8">
        <f t="shared" si="0"/>
        <v>86</v>
      </c>
      <c r="S15" s="9"/>
      <c r="T15" s="10"/>
      <c r="U15" s="10" t="s">
        <v>33</v>
      </c>
    </row>
    <row r="16" s="10" customFormat="1" ht="16.35" customHeight="1" spans="1:21">
      <c r="A16" s="8">
        <v>15</v>
      </c>
      <c r="B16" s="7">
        <v>1</v>
      </c>
      <c r="C16" s="7" t="s">
        <v>19</v>
      </c>
      <c r="D16" s="7" t="s">
        <v>20</v>
      </c>
      <c r="E16" s="7" t="s">
        <v>21</v>
      </c>
      <c r="F16" s="8" t="s">
        <v>130</v>
      </c>
      <c r="G16" s="8" t="s">
        <v>131</v>
      </c>
      <c r="H16" s="8">
        <v>3</v>
      </c>
      <c r="I16" s="8" t="s">
        <v>40</v>
      </c>
      <c r="J16" s="8">
        <v>4</v>
      </c>
      <c r="K16" s="8" t="s">
        <v>33</v>
      </c>
      <c r="L16" s="8">
        <v>3</v>
      </c>
      <c r="M16" s="8" t="s">
        <v>49</v>
      </c>
      <c r="N16" s="8">
        <v>3</v>
      </c>
      <c r="O16" s="8" t="s">
        <v>34</v>
      </c>
      <c r="P16" s="8">
        <v>3</v>
      </c>
      <c r="Q16" s="8" t="s">
        <v>35</v>
      </c>
      <c r="R16" s="8">
        <f t="shared" si="0"/>
        <v>87</v>
      </c>
      <c r="S16" s="9"/>
      <c r="T16" s="10"/>
      <c r="U16" s="10" t="s">
        <v>26</v>
      </c>
    </row>
    <row r="17" s="10" customFormat="1" ht="16.35" customHeight="1" spans="1:24">
      <c r="A17" s="8">
        <v>16</v>
      </c>
      <c r="B17" s="7">
        <v>1</v>
      </c>
      <c r="C17" s="7" t="s">
        <v>19</v>
      </c>
      <c r="D17" s="7" t="s">
        <v>20</v>
      </c>
      <c r="E17" s="7" t="s">
        <v>21</v>
      </c>
      <c r="F17" s="8" t="s">
        <v>132</v>
      </c>
      <c r="G17" s="8" t="s">
        <v>133</v>
      </c>
      <c r="H17" s="8">
        <v>2</v>
      </c>
      <c r="I17" s="8" t="s">
        <v>36</v>
      </c>
      <c r="J17" s="8">
        <v>2</v>
      </c>
      <c r="K17" s="8" t="s">
        <v>49</v>
      </c>
      <c r="L17" s="8">
        <v>2</v>
      </c>
      <c r="M17" s="8" t="s">
        <v>67</v>
      </c>
      <c r="N17" s="8">
        <v>2</v>
      </c>
      <c r="O17" s="8" t="s">
        <v>78</v>
      </c>
      <c r="P17" s="8">
        <v>2</v>
      </c>
      <c r="Q17" s="8" t="s">
        <v>45</v>
      </c>
      <c r="R17" s="8">
        <f t="shared" si="0"/>
        <v>92</v>
      </c>
      <c r="S17" s="9"/>
      <c r="T17" s="10"/>
      <c r="U17" s="10" t="s">
        <v>25</v>
      </c>
    </row>
    <row r="18" s="10" customFormat="1" ht="16.35" customHeight="1" spans="1:24">
      <c r="A18" s="8">
        <v>17</v>
      </c>
      <c r="B18" s="7">
        <v>1</v>
      </c>
      <c r="C18" s="7" t="s">
        <v>19</v>
      </c>
      <c r="D18" s="7" t="s">
        <v>20</v>
      </c>
      <c r="E18" s="7" t="s">
        <v>21</v>
      </c>
      <c r="F18" s="8" t="s">
        <v>134</v>
      </c>
      <c r="G18" s="8" t="s">
        <v>135</v>
      </c>
      <c r="H18" s="8">
        <v>3</v>
      </c>
      <c r="I18" s="8" t="s">
        <v>40</v>
      </c>
      <c r="J18" s="8">
        <v>2</v>
      </c>
      <c r="K18" s="8" t="s">
        <v>49</v>
      </c>
      <c r="L18" s="8">
        <v>3</v>
      </c>
      <c r="M18" s="8" t="s">
        <v>25</v>
      </c>
      <c r="N18" s="8">
        <v>3</v>
      </c>
      <c r="O18" s="8" t="s">
        <v>44</v>
      </c>
      <c r="P18" s="8">
        <v>3</v>
      </c>
      <c r="Q18" s="8" t="s">
        <v>28</v>
      </c>
      <c r="R18" s="8">
        <f t="shared" si="0"/>
        <v>89</v>
      </c>
      <c r="S18" s="9"/>
      <c r="T18" s="10"/>
      <c r="U18" s="10" t="s">
        <v>43</v>
      </c>
    </row>
    <row r="19" s="10" customFormat="1" ht="16.35" customHeight="1" spans="1:24">
      <c r="A19" s="8">
        <v>18</v>
      </c>
      <c r="B19" s="7">
        <v>1</v>
      </c>
      <c r="C19" s="7" t="s">
        <v>19</v>
      </c>
      <c r="D19" s="7" t="s">
        <v>20</v>
      </c>
      <c r="E19" s="7" t="s">
        <v>21</v>
      </c>
      <c r="F19" s="8" t="s">
        <v>136</v>
      </c>
      <c r="G19" s="8" t="s">
        <v>137</v>
      </c>
      <c r="H19" s="8">
        <v>3</v>
      </c>
      <c r="I19" s="8" t="s">
        <v>64</v>
      </c>
      <c r="J19" s="8">
        <v>3</v>
      </c>
      <c r="K19" s="8" t="s">
        <v>33</v>
      </c>
      <c r="L19" s="8">
        <v>3</v>
      </c>
      <c r="M19" s="8" t="s">
        <v>67</v>
      </c>
      <c r="N19" s="8">
        <v>3</v>
      </c>
      <c r="O19" s="8" t="s">
        <v>78</v>
      </c>
      <c r="P19" s="8">
        <v>3</v>
      </c>
      <c r="Q19" s="8" t="s">
        <v>35</v>
      </c>
      <c r="R19" s="8">
        <f t="shared" si="0"/>
        <v>88</v>
      </c>
      <c r="S19" s="9"/>
      <c r="T19" s="10"/>
      <c r="U19" s="10" t="s">
        <v>53</v>
      </c>
    </row>
    <row r="20" s="10" customFormat="1" ht="16.35" customHeight="1" spans="1:24">
      <c r="A20" s="8">
        <v>19</v>
      </c>
      <c r="B20" s="7">
        <v>1</v>
      </c>
      <c r="C20" s="7" t="s">
        <v>19</v>
      </c>
      <c r="D20" s="7" t="s">
        <v>20</v>
      </c>
      <c r="E20" s="7" t="s">
        <v>21</v>
      </c>
      <c r="F20" s="8" t="s">
        <v>138</v>
      </c>
      <c r="G20" s="8" t="s">
        <v>139</v>
      </c>
      <c r="H20" s="8">
        <v>4</v>
      </c>
      <c r="I20" s="8" t="s">
        <v>40</v>
      </c>
      <c r="J20" s="8">
        <v>4</v>
      </c>
      <c r="K20" s="8" t="s">
        <v>25</v>
      </c>
      <c r="L20" s="8">
        <v>4</v>
      </c>
      <c r="M20" s="8" t="s">
        <v>49</v>
      </c>
      <c r="N20" s="8">
        <v>4</v>
      </c>
      <c r="O20" s="8" t="s">
        <v>34</v>
      </c>
      <c r="P20" s="8">
        <v>4</v>
      </c>
      <c r="Q20" s="8" t="s">
        <v>28</v>
      </c>
      <c r="R20" s="8">
        <f t="shared" si="0"/>
        <v>84</v>
      </c>
      <c r="S20" s="9"/>
      <c r="T20" s="10"/>
      <c r="U20" s="10" t="s">
        <v>85</v>
      </c>
    </row>
    <row r="21" s="10" customFormat="1" ht="16.35" customHeight="1" spans="1:24">
      <c r="A21" s="8">
        <v>20</v>
      </c>
      <c r="B21" s="7">
        <v>1</v>
      </c>
      <c r="C21" s="7" t="s">
        <v>19</v>
      </c>
      <c r="D21" s="7" t="s">
        <v>20</v>
      </c>
      <c r="E21" s="7" t="s">
        <v>21</v>
      </c>
      <c r="F21" s="8" t="s">
        <v>140</v>
      </c>
      <c r="G21" s="8" t="s">
        <v>141</v>
      </c>
      <c r="H21" s="8">
        <v>3</v>
      </c>
      <c r="I21" s="8" t="s">
        <v>36</v>
      </c>
      <c r="J21" s="8">
        <v>3</v>
      </c>
      <c r="K21" s="8" t="s">
        <v>33</v>
      </c>
      <c r="L21" s="8">
        <v>3</v>
      </c>
      <c r="M21" s="8" t="s">
        <v>43</v>
      </c>
      <c r="N21" s="8">
        <v>3</v>
      </c>
      <c r="O21" s="8" t="s">
        <v>27</v>
      </c>
      <c r="P21" s="8">
        <v>3</v>
      </c>
      <c r="Q21" s="8" t="s">
        <v>35</v>
      </c>
      <c r="R21" s="8">
        <f t="shared" si="0"/>
        <v>88</v>
      </c>
      <c r="S21" s="9"/>
    </row>
    <row r="22" s="10" customFormat="1" ht="16.35" customHeight="1" spans="1:24">
      <c r="A22" s="8">
        <v>21</v>
      </c>
      <c r="B22" s="7">
        <v>1</v>
      </c>
      <c r="C22" s="7" t="s">
        <v>19</v>
      </c>
      <c r="D22" s="7" t="s">
        <v>20</v>
      </c>
      <c r="E22" s="7" t="s">
        <v>21</v>
      </c>
      <c r="F22" s="8" t="s">
        <v>142</v>
      </c>
      <c r="G22" s="8" t="s">
        <v>143</v>
      </c>
      <c r="H22" s="8">
        <v>3</v>
      </c>
      <c r="I22" s="8" t="s">
        <v>61</v>
      </c>
      <c r="J22" s="8">
        <v>3</v>
      </c>
      <c r="K22" s="8" t="s">
        <v>43</v>
      </c>
      <c r="L22" s="8">
        <v>3</v>
      </c>
      <c r="M22" s="8" t="s">
        <v>25</v>
      </c>
      <c r="N22" s="8">
        <v>3</v>
      </c>
      <c r="O22" s="8" t="s">
        <v>44</v>
      </c>
      <c r="P22" s="8">
        <v>3</v>
      </c>
      <c r="Q22" s="8" t="s">
        <v>28</v>
      </c>
      <c r="R22" s="8">
        <f t="shared" si="0"/>
        <v>88</v>
      </c>
      <c r="S22" s="9"/>
      <c r="T22" s="10"/>
      <c r="U22" s="10" t="s">
        <v>78</v>
      </c>
    </row>
    <row r="23" spans="1:24">
      <c r="B23" s="11"/>
      <c r="C23" s="11"/>
      <c r="D23" s="11"/>
      <c r="E23" s="11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10"/>
      <c r="U23" s="10" t="s">
        <v>44</v>
      </c>
    </row>
    <row r="24" spans="1:24">
      <c r="B24" s="11"/>
      <c r="C24" s="11"/>
      <c r="D24" s="11"/>
      <c r="E24" s="11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10"/>
      <c r="U24" s="10" t="s">
        <v>34</v>
      </c>
    </row>
    <row r="25" spans="1:24">
      <c r="B25" s="11"/>
      <c r="C25" s="11"/>
      <c r="D25" s="11"/>
      <c r="E25" s="11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10"/>
      <c r="U25" s="10" t="s">
        <v>27</v>
      </c>
    </row>
    <row r="26" spans="1:24">
      <c r="B26" s="11"/>
      <c r="C26" s="11"/>
      <c r="D26" s="11"/>
      <c r="E26" s="11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10"/>
      <c r="U26" s="10"/>
    </row>
    <row r="27" s="10" customFormat="1" ht="24" spans="1:24">
      <c r="A27" s="9"/>
      <c r="B27" s="2"/>
      <c r="C27" s="2"/>
      <c r="D27" s="2"/>
      <c r="E27" s="2"/>
      <c r="F27" s="2"/>
      <c r="G27" s="9"/>
      <c r="H27" s="11"/>
      <c r="I27" s="11"/>
      <c r="J27" s="11"/>
      <c r="K27" s="9"/>
      <c r="L27" s="9"/>
      <c r="M27" s="9"/>
      <c r="N27" s="9"/>
      <c r="O27" s="9"/>
      <c r="P27" s="9"/>
      <c r="Q27" s="9"/>
      <c r="R27" s="9"/>
      <c r="S27" s="9"/>
      <c r="T27" s="9"/>
      <c r="U27" s="9" t="s">
        <v>98</v>
      </c>
      <c r="V27" s="9"/>
      <c r="W27" s="9"/>
      <c r="X27" s="9"/>
    </row>
    <row r="28" ht="24" spans="1:24">
      <c r="H28" s="13"/>
      <c r="J28" s="13"/>
      <c r="L28" s="13"/>
      <c r="N28" s="13"/>
      <c r="P28" s="13"/>
      <c r="R28" s="13"/>
      <c r="U28" s="12" t="s">
        <v>99</v>
      </c>
    </row>
    <row r="29" ht="24" spans="1:24">
      <c r="H29" s="13"/>
      <c r="J29" s="13"/>
      <c r="L29" s="13"/>
      <c r="N29" s="13"/>
      <c r="P29" s="13"/>
      <c r="R29" s="13"/>
      <c r="U29" s="12" t="s">
        <v>100</v>
      </c>
    </row>
    <row r="30" ht="15.5" spans="1:24">
      <c r="H30" s="13"/>
      <c r="J30" s="13"/>
      <c r="L30" s="13"/>
      <c r="N30" s="13"/>
      <c r="P30" s="13"/>
      <c r="R30" s="13"/>
      <c r="U30" s="14" t="s">
        <v>101</v>
      </c>
    </row>
    <row r="31" spans="1:24">
      <c r="H31" s="13"/>
      <c r="J31" s="13"/>
      <c r="L31" s="13"/>
      <c r="N31" s="13"/>
      <c r="P31" s="13"/>
      <c r="R31" s="13"/>
    </row>
    <row r="32" ht="24" spans="1:24">
      <c r="H32" s="13"/>
      <c r="J32" s="13"/>
      <c r="L32" s="13"/>
      <c r="N32" s="13"/>
      <c r="P32" s="13"/>
      <c r="R32" s="13"/>
      <c r="U32" s="12" t="s">
        <v>35</v>
      </c>
    </row>
    <row r="33" spans="8:21">
      <c r="H33" s="13"/>
      <c r="J33" s="13"/>
      <c r="L33" s="13"/>
      <c r="N33" s="13"/>
      <c r="P33" s="13"/>
      <c r="R33" s="13"/>
      <c r="U33" s="12" t="s">
        <v>28</v>
      </c>
    </row>
    <row r="34" spans="8:21">
      <c r="H34" s="13"/>
      <c r="J34" s="13"/>
      <c r="L34" s="13"/>
      <c r="N34" s="13"/>
      <c r="P34" s="13"/>
      <c r="R34" s="13"/>
      <c r="U34" s="12" t="s">
        <v>45</v>
      </c>
    </row>
  </sheetData>
  <dataValidations count="5">
    <dataValidation type="list" allowBlank="1" showInputMessage="1" sqref="I2:I26">
      <formula1>$U$2:$U$11</formula1>
    </dataValidation>
    <dataValidation type="list" allowBlank="1" showInputMessage="1" showErrorMessage="1" sqref="K2:K26">
      <formula1>$U$13:$U$20</formula1>
    </dataValidation>
    <dataValidation type="list" allowBlank="1" showInputMessage="1" showErrorMessage="1" sqref="M2:M26">
      <formula1>$U$13:$U$18</formula1>
    </dataValidation>
    <dataValidation type="list" allowBlank="1" showInputMessage="1" sqref="O2:O26">
      <formula1>$U$22:$U$25</formula1>
    </dataValidation>
    <dataValidation type="list" allowBlank="1" showInputMessage="1" sqref="Q2:Q26">
      <formula1>$U$32:$U$34</formula1>
    </dataValidation>
  </dataValidation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4"/>
  <sheetViews>
    <sheetView tabSelected="1" zoomScale="85" zoomScaleNormal="85" workbookViewId="0">
      <selection activeCell="E30" sqref="E30"/>
    </sheetView>
  </sheetViews>
  <sheetFormatPr defaultColWidth="9" defaultRowHeight="14"/>
  <cols>
    <col min="1" max="1" width="7.26363636363636" style="2" customWidth="1"/>
    <col min="2" max="2" width="9.83636363636364" style="2" customWidth="1"/>
    <col min="3" max="3" width="13.8909090909091" style="2" customWidth="1"/>
    <col min="4" max="4" width="15.7181818181818" style="2" customWidth="1"/>
    <col min="5" max="5" width="9" style="2"/>
    <col min="6" max="6" width="11.9818181818182" style="2" customWidth="1"/>
    <col min="7" max="7" width="9" style="2"/>
    <col min="8" max="8" width="6.90909090909091" style="2" customWidth="1"/>
    <col min="9" max="9" width="23.7272727272727" style="2" customWidth="1"/>
    <col min="10" max="10" width="6.90909090909091" style="2" customWidth="1"/>
    <col min="11" max="11" width="23.7272727272727" style="2" customWidth="1"/>
    <col min="12" max="12" width="6.90909090909091" style="2" customWidth="1"/>
    <col min="13" max="13" width="23.7272727272727" style="2" customWidth="1"/>
    <col min="14" max="14" width="6.90909090909091" style="2" customWidth="1"/>
    <col min="15" max="15" width="23.7272727272727" style="2" customWidth="1"/>
    <col min="16" max="16" width="6.90909090909091" style="2" customWidth="1"/>
    <col min="17" max="17" width="23.7272727272727" style="2" customWidth="1"/>
    <col min="18" max="18" width="6.90909090909091" style="2" customWidth="1"/>
    <col min="19" max="16384" width="9" style="2"/>
  </cols>
  <sheetData>
    <row r="1" s="1" customFormat="1" ht="23" customHeight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/>
      <c r="U1" s="1" t="s">
        <v>18</v>
      </c>
    </row>
    <row r="2" ht="16.35" customHeight="1" spans="1:21">
      <c r="A2" s="6">
        <v>1</v>
      </c>
      <c r="B2" s="7">
        <v>1</v>
      </c>
      <c r="C2" s="7" t="s">
        <v>19</v>
      </c>
      <c r="D2" s="7" t="s">
        <v>20</v>
      </c>
      <c r="E2" s="7" t="s">
        <v>21</v>
      </c>
      <c r="F2" s="23" t="s">
        <v>144</v>
      </c>
      <c r="G2" s="6" t="s">
        <v>145</v>
      </c>
      <c r="H2" s="8">
        <v>2</v>
      </c>
      <c r="I2" s="8" t="s">
        <v>24</v>
      </c>
      <c r="J2" s="8">
        <v>2</v>
      </c>
      <c r="K2" s="8" t="s">
        <v>25</v>
      </c>
      <c r="L2" s="8">
        <v>2</v>
      </c>
      <c r="M2" s="8" t="s">
        <v>26</v>
      </c>
      <c r="N2" s="8">
        <v>2</v>
      </c>
      <c r="O2" s="8" t="s">
        <v>27</v>
      </c>
      <c r="P2" s="8">
        <v>2</v>
      </c>
      <c r="Q2" s="8" t="s">
        <v>28</v>
      </c>
      <c r="R2" s="8">
        <f t="shared" ref="R2:R26" si="0">100-J2-L2-N2-P2</f>
        <v>92</v>
      </c>
      <c r="S2" s="9"/>
      <c r="T2" s="10"/>
      <c r="U2" s="10" t="s">
        <v>29</v>
      </c>
    </row>
    <row r="3" ht="16.35" customHeight="1" spans="1:21">
      <c r="A3" s="6">
        <v>2</v>
      </c>
      <c r="B3" s="7">
        <v>1</v>
      </c>
      <c r="C3" s="7" t="s">
        <v>19</v>
      </c>
      <c r="D3" s="7" t="s">
        <v>20</v>
      </c>
      <c r="E3" s="7" t="s">
        <v>21</v>
      </c>
      <c r="F3" s="6" t="s">
        <v>146</v>
      </c>
      <c r="G3" s="6" t="s">
        <v>147</v>
      </c>
      <c r="H3" s="8">
        <v>3</v>
      </c>
      <c r="I3" s="8" t="s">
        <v>32</v>
      </c>
      <c r="J3" s="8">
        <v>4</v>
      </c>
      <c r="K3" s="8" t="s">
        <v>33</v>
      </c>
      <c r="L3" s="8">
        <v>3</v>
      </c>
      <c r="M3" s="8" t="s">
        <v>26</v>
      </c>
      <c r="N3" s="8">
        <v>3</v>
      </c>
      <c r="O3" s="8" t="s">
        <v>34</v>
      </c>
      <c r="P3" s="8">
        <v>3</v>
      </c>
      <c r="Q3" s="8" t="s">
        <v>35</v>
      </c>
      <c r="R3" s="8">
        <f t="shared" si="0"/>
        <v>87</v>
      </c>
      <c r="S3" s="9"/>
      <c r="T3" s="10"/>
      <c r="U3" s="10" t="s">
        <v>36</v>
      </c>
    </row>
    <row r="4" ht="16.35" customHeight="1" spans="1:21">
      <c r="A4" s="6">
        <v>3</v>
      </c>
      <c r="B4" s="7">
        <v>1</v>
      </c>
      <c r="C4" s="7" t="s">
        <v>19</v>
      </c>
      <c r="D4" s="7" t="s">
        <v>20</v>
      </c>
      <c r="E4" s="7" t="s">
        <v>21</v>
      </c>
      <c r="F4" s="6" t="s">
        <v>148</v>
      </c>
      <c r="G4" s="6" t="s">
        <v>149</v>
      </c>
      <c r="H4" s="8">
        <v>4</v>
      </c>
      <c r="I4" s="8" t="s">
        <v>39</v>
      </c>
      <c r="J4" s="8">
        <v>4</v>
      </c>
      <c r="K4" s="8" t="s">
        <v>25</v>
      </c>
      <c r="L4" s="8">
        <v>4</v>
      </c>
      <c r="M4" s="8" t="s">
        <v>33</v>
      </c>
      <c r="N4" s="8">
        <v>4</v>
      </c>
      <c r="O4" s="8" t="s">
        <v>27</v>
      </c>
      <c r="P4" s="8">
        <v>4</v>
      </c>
      <c r="Q4" s="8" t="s">
        <v>28</v>
      </c>
      <c r="R4" s="8">
        <f t="shared" si="0"/>
        <v>84</v>
      </c>
      <c r="S4" s="9"/>
      <c r="T4" s="10"/>
      <c r="U4" s="10" t="s">
        <v>40</v>
      </c>
    </row>
    <row r="5" ht="16.35" customHeight="1" spans="1:21">
      <c r="A5" s="6">
        <v>4</v>
      </c>
      <c r="B5" s="7">
        <v>1</v>
      </c>
      <c r="C5" s="7" t="s">
        <v>19</v>
      </c>
      <c r="D5" s="7" t="s">
        <v>20</v>
      </c>
      <c r="E5" s="7" t="s">
        <v>21</v>
      </c>
      <c r="F5" s="6" t="s">
        <v>150</v>
      </c>
      <c r="G5" s="6" t="s">
        <v>151</v>
      </c>
      <c r="H5" s="8">
        <v>4</v>
      </c>
      <c r="I5" s="8" t="s">
        <v>36</v>
      </c>
      <c r="J5" s="8">
        <v>4</v>
      </c>
      <c r="K5" s="8" t="s">
        <v>43</v>
      </c>
      <c r="L5" s="8">
        <v>4</v>
      </c>
      <c r="M5" s="8" t="s">
        <v>25</v>
      </c>
      <c r="N5" s="8">
        <v>4</v>
      </c>
      <c r="O5" s="8" t="s">
        <v>44</v>
      </c>
      <c r="P5" s="8">
        <v>4</v>
      </c>
      <c r="Q5" s="8" t="s">
        <v>45</v>
      </c>
      <c r="R5" s="8">
        <f t="shared" si="0"/>
        <v>84</v>
      </c>
      <c r="S5" s="9"/>
      <c r="T5" s="10"/>
      <c r="U5" s="10" t="s">
        <v>46</v>
      </c>
    </row>
    <row r="6" ht="16.35" customHeight="1" spans="1:21">
      <c r="A6" s="6">
        <v>5</v>
      </c>
      <c r="B6" s="7">
        <v>1</v>
      </c>
      <c r="C6" s="7" t="s">
        <v>19</v>
      </c>
      <c r="D6" s="7" t="s">
        <v>20</v>
      </c>
      <c r="E6" s="7" t="s">
        <v>21</v>
      </c>
      <c r="F6" s="6" t="s">
        <v>152</v>
      </c>
      <c r="G6" s="6" t="s">
        <v>153</v>
      </c>
      <c r="H6" s="8">
        <v>3</v>
      </c>
      <c r="I6" s="8" t="s">
        <v>24</v>
      </c>
      <c r="J6" s="8">
        <v>2</v>
      </c>
      <c r="K6" s="8" t="s">
        <v>49</v>
      </c>
      <c r="L6" s="8">
        <v>3</v>
      </c>
      <c r="M6" s="8" t="s">
        <v>49</v>
      </c>
      <c r="N6" s="8">
        <v>3</v>
      </c>
      <c r="O6" s="8" t="s">
        <v>34</v>
      </c>
      <c r="P6" s="8">
        <v>3</v>
      </c>
      <c r="Q6" s="8" t="s">
        <v>35</v>
      </c>
      <c r="R6" s="8">
        <f t="shared" si="0"/>
        <v>89</v>
      </c>
      <c r="S6" s="9"/>
      <c r="T6" s="10"/>
      <c r="U6" s="10" t="s">
        <v>24</v>
      </c>
    </row>
    <row r="7" ht="16.35" customHeight="1" spans="1:21">
      <c r="A7" s="6">
        <v>6</v>
      </c>
      <c r="B7" s="7">
        <v>1</v>
      </c>
      <c r="C7" s="7" t="s">
        <v>19</v>
      </c>
      <c r="D7" s="7" t="s">
        <v>20</v>
      </c>
      <c r="E7" s="7" t="s">
        <v>21</v>
      </c>
      <c r="F7" s="6" t="s">
        <v>154</v>
      </c>
      <c r="G7" s="6" t="s">
        <v>155</v>
      </c>
      <c r="H7" s="8">
        <v>4</v>
      </c>
      <c r="I7" s="8" t="s">
        <v>52</v>
      </c>
      <c r="J7" s="8">
        <v>4</v>
      </c>
      <c r="K7" s="8" t="s">
        <v>53</v>
      </c>
      <c r="L7" s="8">
        <v>4</v>
      </c>
      <c r="M7" s="8" t="s">
        <v>25</v>
      </c>
      <c r="N7" s="8">
        <v>4</v>
      </c>
      <c r="O7" s="8" t="s">
        <v>27</v>
      </c>
      <c r="P7" s="8">
        <v>4</v>
      </c>
      <c r="Q7" s="8" t="s">
        <v>45</v>
      </c>
      <c r="R7" s="8">
        <f t="shared" si="0"/>
        <v>84</v>
      </c>
      <c r="S7" s="9"/>
      <c r="T7" s="10"/>
      <c r="U7" s="10" t="s">
        <v>54</v>
      </c>
    </row>
    <row r="8" ht="16.35" customHeight="1" spans="1:21">
      <c r="A8" s="6">
        <v>7</v>
      </c>
      <c r="B8" s="7">
        <v>1</v>
      </c>
      <c r="C8" s="7" t="s">
        <v>19</v>
      </c>
      <c r="D8" s="7" t="s">
        <v>20</v>
      </c>
      <c r="E8" s="7" t="s">
        <v>21</v>
      </c>
      <c r="F8" s="6" t="s">
        <v>156</v>
      </c>
      <c r="G8" s="6" t="s">
        <v>157</v>
      </c>
      <c r="H8" s="8">
        <v>3</v>
      </c>
      <c r="I8" s="8" t="s">
        <v>24</v>
      </c>
      <c r="J8" s="8">
        <v>3</v>
      </c>
      <c r="K8" s="8" t="s">
        <v>33</v>
      </c>
      <c r="L8" s="8">
        <v>3</v>
      </c>
      <c r="M8" s="8" t="s">
        <v>26</v>
      </c>
      <c r="N8" s="8">
        <v>3</v>
      </c>
      <c r="O8" s="8" t="s">
        <v>44</v>
      </c>
      <c r="P8" s="8">
        <v>3</v>
      </c>
      <c r="Q8" s="8" t="s">
        <v>28</v>
      </c>
      <c r="R8" s="8">
        <f t="shared" si="0"/>
        <v>88</v>
      </c>
      <c r="S8" s="9"/>
      <c r="T8" s="10"/>
      <c r="U8" s="10" t="s">
        <v>39</v>
      </c>
    </row>
    <row r="9" ht="16.35" customHeight="1" spans="1:21">
      <c r="A9" s="6">
        <v>8</v>
      </c>
      <c r="B9" s="7">
        <v>1</v>
      </c>
      <c r="C9" s="7" t="s">
        <v>19</v>
      </c>
      <c r="D9" s="7" t="s">
        <v>20</v>
      </c>
      <c r="E9" s="7" t="s">
        <v>21</v>
      </c>
      <c r="F9" s="6" t="s">
        <v>158</v>
      </c>
      <c r="G9" s="6" t="s">
        <v>159</v>
      </c>
      <c r="H9" s="8">
        <v>3</v>
      </c>
      <c r="I9" s="8" t="s">
        <v>36</v>
      </c>
      <c r="J9" s="8">
        <v>3</v>
      </c>
      <c r="K9" s="8" t="s">
        <v>49</v>
      </c>
      <c r="L9" s="8">
        <v>3</v>
      </c>
      <c r="M9" s="8" t="s">
        <v>33</v>
      </c>
      <c r="N9" s="8">
        <v>3</v>
      </c>
      <c r="O9" s="8" t="s">
        <v>34</v>
      </c>
      <c r="P9" s="8">
        <v>3</v>
      </c>
      <c r="Q9" s="8" t="s">
        <v>45</v>
      </c>
      <c r="R9" s="8">
        <f t="shared" si="0"/>
        <v>88</v>
      </c>
      <c r="S9" s="9"/>
      <c r="T9" s="10"/>
      <c r="U9" s="10" t="s">
        <v>52</v>
      </c>
    </row>
    <row r="10" ht="16.35" customHeight="1" spans="1:21">
      <c r="A10" s="6">
        <v>9</v>
      </c>
      <c r="B10" s="7">
        <v>1</v>
      </c>
      <c r="C10" s="7" t="s">
        <v>19</v>
      </c>
      <c r="D10" s="7" t="s">
        <v>20</v>
      </c>
      <c r="E10" s="7" t="s">
        <v>21</v>
      </c>
      <c r="F10" s="6" t="s">
        <v>160</v>
      </c>
      <c r="G10" s="6" t="s">
        <v>161</v>
      </c>
      <c r="H10" s="8">
        <v>3</v>
      </c>
      <c r="I10" s="8" t="s">
        <v>61</v>
      </c>
      <c r="J10" s="8">
        <v>3</v>
      </c>
      <c r="K10" s="8" t="s">
        <v>53</v>
      </c>
      <c r="L10" s="8">
        <v>3</v>
      </c>
      <c r="M10" s="8" t="s">
        <v>26</v>
      </c>
      <c r="N10" s="8">
        <v>3</v>
      </c>
      <c r="O10" s="8" t="s">
        <v>27</v>
      </c>
      <c r="P10" s="8">
        <v>3</v>
      </c>
      <c r="Q10" s="8" t="s">
        <v>35</v>
      </c>
      <c r="R10" s="8">
        <f t="shared" si="0"/>
        <v>88</v>
      </c>
      <c r="S10" s="9"/>
      <c r="T10" s="10"/>
      <c r="U10" s="10" t="s">
        <v>61</v>
      </c>
    </row>
    <row r="11" ht="16.35" customHeight="1" spans="1:21">
      <c r="A11" s="6">
        <v>10</v>
      </c>
      <c r="B11" s="7">
        <v>1</v>
      </c>
      <c r="C11" s="7" t="s">
        <v>19</v>
      </c>
      <c r="D11" s="7" t="s">
        <v>20</v>
      </c>
      <c r="E11" s="7" t="s">
        <v>21</v>
      </c>
      <c r="F11" s="6" t="s">
        <v>162</v>
      </c>
      <c r="G11" s="6" t="s">
        <v>163</v>
      </c>
      <c r="H11" s="8">
        <v>3</v>
      </c>
      <c r="I11" s="8" t="s">
        <v>40</v>
      </c>
      <c r="J11" s="8">
        <v>3</v>
      </c>
      <c r="K11" s="8" t="s">
        <v>25</v>
      </c>
      <c r="L11" s="8">
        <v>3</v>
      </c>
      <c r="M11" s="8" t="s">
        <v>26</v>
      </c>
      <c r="N11" s="8">
        <v>3</v>
      </c>
      <c r="O11" s="8" t="s">
        <v>34</v>
      </c>
      <c r="P11" s="8">
        <v>3</v>
      </c>
      <c r="Q11" s="8" t="s">
        <v>45</v>
      </c>
      <c r="R11" s="8">
        <f t="shared" si="0"/>
        <v>88</v>
      </c>
      <c r="S11" s="9"/>
      <c r="T11" s="10"/>
      <c r="U11" s="10" t="s">
        <v>64</v>
      </c>
    </row>
    <row r="12" ht="16.35" customHeight="1" spans="1:21">
      <c r="A12" s="6">
        <v>11</v>
      </c>
      <c r="B12" s="7">
        <v>1</v>
      </c>
      <c r="C12" s="7" t="s">
        <v>19</v>
      </c>
      <c r="D12" s="7" t="s">
        <v>20</v>
      </c>
      <c r="E12" s="7" t="s">
        <v>21</v>
      </c>
      <c r="F12" s="6" t="s">
        <v>164</v>
      </c>
      <c r="G12" s="6" t="s">
        <v>165</v>
      </c>
      <c r="H12" s="8">
        <v>3</v>
      </c>
      <c r="I12" s="8" t="s">
        <v>54</v>
      </c>
      <c r="J12" s="8">
        <v>3</v>
      </c>
      <c r="K12" s="8" t="s">
        <v>67</v>
      </c>
      <c r="L12" s="8">
        <v>3</v>
      </c>
      <c r="M12" s="8" t="s">
        <v>67</v>
      </c>
      <c r="N12" s="8">
        <v>3</v>
      </c>
      <c r="O12" s="8" t="s">
        <v>27</v>
      </c>
      <c r="P12" s="8">
        <v>3</v>
      </c>
      <c r="Q12" s="8" t="s">
        <v>35</v>
      </c>
      <c r="R12" s="8">
        <f t="shared" si="0"/>
        <v>88</v>
      </c>
      <c r="S12" s="9"/>
      <c r="T12" s="10"/>
      <c r="U12" s="10"/>
    </row>
    <row r="13" ht="16.35" customHeight="1" spans="1:21">
      <c r="A13" s="6">
        <v>12</v>
      </c>
      <c r="B13" s="7">
        <v>1</v>
      </c>
      <c r="C13" s="7" t="s">
        <v>19</v>
      </c>
      <c r="D13" s="7" t="s">
        <v>20</v>
      </c>
      <c r="E13" s="7" t="s">
        <v>21</v>
      </c>
      <c r="F13" s="6" t="s">
        <v>166</v>
      </c>
      <c r="G13" s="6" t="s">
        <v>167</v>
      </c>
      <c r="H13" s="8">
        <v>3</v>
      </c>
      <c r="I13" s="8" t="s">
        <v>29</v>
      </c>
      <c r="J13" s="8">
        <v>3</v>
      </c>
      <c r="K13" s="8" t="s">
        <v>33</v>
      </c>
      <c r="L13" s="8">
        <v>3</v>
      </c>
      <c r="M13" s="8" t="s">
        <v>25</v>
      </c>
      <c r="N13" s="8">
        <v>3</v>
      </c>
      <c r="O13" s="8" t="s">
        <v>34</v>
      </c>
      <c r="P13" s="8">
        <v>3</v>
      </c>
      <c r="Q13" s="8" t="s">
        <v>45</v>
      </c>
      <c r="R13" s="8">
        <f t="shared" si="0"/>
        <v>88</v>
      </c>
      <c r="S13" s="9"/>
      <c r="T13" s="10"/>
      <c r="U13" s="10" t="s">
        <v>67</v>
      </c>
    </row>
    <row r="14" ht="16.35" customHeight="1" spans="1:21">
      <c r="A14" s="6">
        <v>13</v>
      </c>
      <c r="B14" s="7">
        <v>1</v>
      </c>
      <c r="C14" s="7" t="s">
        <v>19</v>
      </c>
      <c r="D14" s="7" t="s">
        <v>20</v>
      </c>
      <c r="E14" s="7" t="s">
        <v>21</v>
      </c>
      <c r="F14" s="6" t="s">
        <v>168</v>
      </c>
      <c r="G14" s="6" t="s">
        <v>169</v>
      </c>
      <c r="H14" s="8">
        <v>3</v>
      </c>
      <c r="I14" s="8" t="s">
        <v>40</v>
      </c>
      <c r="J14" s="8">
        <v>3</v>
      </c>
      <c r="K14" s="8" t="s">
        <v>26</v>
      </c>
      <c r="L14" s="8">
        <v>3</v>
      </c>
      <c r="M14" s="8" t="s">
        <v>49</v>
      </c>
      <c r="N14" s="8">
        <v>3</v>
      </c>
      <c r="O14" s="8" t="s">
        <v>27</v>
      </c>
      <c r="P14" s="8">
        <v>3</v>
      </c>
      <c r="Q14" s="8" t="s">
        <v>35</v>
      </c>
      <c r="R14" s="8">
        <f t="shared" si="0"/>
        <v>88</v>
      </c>
      <c r="S14" s="9"/>
      <c r="T14" s="10"/>
      <c r="U14" s="10" t="s">
        <v>49</v>
      </c>
    </row>
    <row r="15" ht="16.35" customHeight="1" spans="1:21">
      <c r="A15" s="6">
        <v>14</v>
      </c>
      <c r="B15" s="7">
        <v>1</v>
      </c>
      <c r="C15" s="7" t="s">
        <v>19</v>
      </c>
      <c r="D15" s="7" t="s">
        <v>20</v>
      </c>
      <c r="E15" s="7" t="s">
        <v>21</v>
      </c>
      <c r="F15" s="6" t="s">
        <v>170</v>
      </c>
      <c r="G15" s="6" t="s">
        <v>171</v>
      </c>
      <c r="H15" s="8">
        <v>4</v>
      </c>
      <c r="I15" s="8" t="s">
        <v>61</v>
      </c>
      <c r="J15" s="8">
        <v>2</v>
      </c>
      <c r="K15" s="8" t="s">
        <v>33</v>
      </c>
      <c r="L15" s="8">
        <v>4</v>
      </c>
      <c r="M15" s="8" t="s">
        <v>33</v>
      </c>
      <c r="N15" s="8">
        <v>4</v>
      </c>
      <c r="O15" s="8" t="s">
        <v>44</v>
      </c>
      <c r="P15" s="8">
        <v>4</v>
      </c>
      <c r="Q15" s="8" t="s">
        <v>28</v>
      </c>
      <c r="R15" s="8">
        <f t="shared" si="0"/>
        <v>86</v>
      </c>
      <c r="S15" s="9"/>
      <c r="T15" s="10"/>
      <c r="U15" s="10" t="s">
        <v>33</v>
      </c>
    </row>
    <row r="16" ht="16.35" customHeight="1" spans="1:21">
      <c r="A16" s="6">
        <v>15</v>
      </c>
      <c r="B16" s="7">
        <v>1</v>
      </c>
      <c r="C16" s="7" t="s">
        <v>19</v>
      </c>
      <c r="D16" s="7" t="s">
        <v>20</v>
      </c>
      <c r="E16" s="7" t="s">
        <v>21</v>
      </c>
      <c r="F16" s="6" t="s">
        <v>172</v>
      </c>
      <c r="G16" s="6" t="s">
        <v>173</v>
      </c>
      <c r="H16" s="8">
        <v>3</v>
      </c>
      <c r="I16" s="8" t="s">
        <v>40</v>
      </c>
      <c r="J16" s="8">
        <v>4</v>
      </c>
      <c r="K16" s="8" t="s">
        <v>33</v>
      </c>
      <c r="L16" s="8">
        <v>3</v>
      </c>
      <c r="M16" s="8" t="s">
        <v>49</v>
      </c>
      <c r="N16" s="8">
        <v>3</v>
      </c>
      <c r="O16" s="8" t="s">
        <v>34</v>
      </c>
      <c r="P16" s="8">
        <v>3</v>
      </c>
      <c r="Q16" s="8" t="s">
        <v>35</v>
      </c>
      <c r="R16" s="8">
        <f t="shared" si="0"/>
        <v>87</v>
      </c>
      <c r="S16" s="9"/>
      <c r="T16" s="10"/>
      <c r="U16" s="10" t="s">
        <v>26</v>
      </c>
    </row>
    <row r="17" ht="16.35" customHeight="1" spans="1:21">
      <c r="A17" s="6">
        <v>16</v>
      </c>
      <c r="B17" s="7">
        <v>1</v>
      </c>
      <c r="C17" s="7" t="s">
        <v>19</v>
      </c>
      <c r="D17" s="7" t="s">
        <v>20</v>
      </c>
      <c r="E17" s="7" t="s">
        <v>21</v>
      </c>
      <c r="F17" s="6" t="s">
        <v>174</v>
      </c>
      <c r="G17" s="6" t="s">
        <v>175</v>
      </c>
      <c r="H17" s="8">
        <v>2</v>
      </c>
      <c r="I17" s="8" t="s">
        <v>36</v>
      </c>
      <c r="J17" s="8">
        <v>2</v>
      </c>
      <c r="K17" s="8" t="s">
        <v>49</v>
      </c>
      <c r="L17" s="8">
        <v>2</v>
      </c>
      <c r="M17" s="8" t="s">
        <v>67</v>
      </c>
      <c r="N17" s="8">
        <v>2</v>
      </c>
      <c r="O17" s="8" t="s">
        <v>78</v>
      </c>
      <c r="P17" s="8">
        <v>2</v>
      </c>
      <c r="Q17" s="8" t="s">
        <v>45</v>
      </c>
      <c r="R17" s="8">
        <f t="shared" si="0"/>
        <v>92</v>
      </c>
      <c r="S17" s="9"/>
      <c r="T17" s="10"/>
      <c r="U17" s="10" t="s">
        <v>25</v>
      </c>
    </row>
    <row r="18" ht="16.35" customHeight="1" spans="1:21">
      <c r="A18" s="6">
        <v>17</v>
      </c>
      <c r="B18" s="7">
        <v>1</v>
      </c>
      <c r="C18" s="7" t="s">
        <v>19</v>
      </c>
      <c r="D18" s="7" t="s">
        <v>20</v>
      </c>
      <c r="E18" s="7" t="s">
        <v>21</v>
      </c>
      <c r="F18" s="6" t="s">
        <v>176</v>
      </c>
      <c r="G18" s="6" t="s">
        <v>177</v>
      </c>
      <c r="H18" s="8">
        <v>3</v>
      </c>
      <c r="I18" s="8" t="s">
        <v>40</v>
      </c>
      <c r="J18" s="8">
        <v>2</v>
      </c>
      <c r="K18" s="8" t="s">
        <v>49</v>
      </c>
      <c r="L18" s="8">
        <v>3</v>
      </c>
      <c r="M18" s="8" t="s">
        <v>25</v>
      </c>
      <c r="N18" s="8">
        <v>3</v>
      </c>
      <c r="O18" s="8" t="s">
        <v>44</v>
      </c>
      <c r="P18" s="8">
        <v>3</v>
      </c>
      <c r="Q18" s="8" t="s">
        <v>28</v>
      </c>
      <c r="R18" s="8">
        <f t="shared" si="0"/>
        <v>89</v>
      </c>
      <c r="S18" s="9"/>
      <c r="T18" s="10"/>
      <c r="U18" s="10" t="s">
        <v>43</v>
      </c>
    </row>
    <row r="19" ht="16.35" customHeight="1" spans="1:21">
      <c r="A19" s="6">
        <v>18</v>
      </c>
      <c r="B19" s="7">
        <v>1</v>
      </c>
      <c r="C19" s="7" t="s">
        <v>19</v>
      </c>
      <c r="D19" s="7" t="s">
        <v>20</v>
      </c>
      <c r="E19" s="7" t="s">
        <v>21</v>
      </c>
      <c r="F19" s="6" t="s">
        <v>178</v>
      </c>
      <c r="G19" s="6" t="s">
        <v>179</v>
      </c>
      <c r="H19" s="8">
        <v>3</v>
      </c>
      <c r="I19" s="8" t="s">
        <v>64</v>
      </c>
      <c r="J19" s="8">
        <v>3</v>
      </c>
      <c r="K19" s="8" t="s">
        <v>33</v>
      </c>
      <c r="L19" s="8">
        <v>3</v>
      </c>
      <c r="M19" s="8" t="s">
        <v>67</v>
      </c>
      <c r="N19" s="8">
        <v>3</v>
      </c>
      <c r="O19" s="8" t="s">
        <v>78</v>
      </c>
      <c r="P19" s="8">
        <v>3</v>
      </c>
      <c r="Q19" s="8" t="s">
        <v>35</v>
      </c>
      <c r="R19" s="8">
        <f t="shared" si="0"/>
        <v>88</v>
      </c>
      <c r="S19" s="9"/>
      <c r="T19" s="10"/>
      <c r="U19" s="10" t="s">
        <v>53</v>
      </c>
    </row>
    <row r="20" ht="16.35" customHeight="1" spans="1:21">
      <c r="A20" s="6">
        <v>19</v>
      </c>
      <c r="B20" s="7">
        <v>1</v>
      </c>
      <c r="C20" s="7" t="s">
        <v>19</v>
      </c>
      <c r="D20" s="7" t="s">
        <v>20</v>
      </c>
      <c r="E20" s="7" t="s">
        <v>21</v>
      </c>
      <c r="F20" s="6" t="s">
        <v>180</v>
      </c>
      <c r="G20" s="6" t="s">
        <v>181</v>
      </c>
      <c r="H20" s="8">
        <v>4</v>
      </c>
      <c r="I20" s="8" t="s">
        <v>40</v>
      </c>
      <c r="J20" s="8">
        <v>4</v>
      </c>
      <c r="K20" s="8" t="s">
        <v>25</v>
      </c>
      <c r="L20" s="8">
        <v>4</v>
      </c>
      <c r="M20" s="8" t="s">
        <v>49</v>
      </c>
      <c r="N20" s="8">
        <v>4</v>
      </c>
      <c r="O20" s="8" t="s">
        <v>34</v>
      </c>
      <c r="P20" s="8">
        <v>4</v>
      </c>
      <c r="Q20" s="8" t="s">
        <v>28</v>
      </c>
      <c r="R20" s="8">
        <f t="shared" si="0"/>
        <v>84</v>
      </c>
      <c r="S20" s="9"/>
      <c r="T20" s="10"/>
      <c r="U20" s="10" t="s">
        <v>85</v>
      </c>
    </row>
    <row r="21" ht="16.35" customHeight="1" spans="1:21">
      <c r="A21" s="6">
        <v>20</v>
      </c>
      <c r="B21" s="7">
        <v>1</v>
      </c>
      <c r="C21" s="7" t="s">
        <v>19</v>
      </c>
      <c r="D21" s="7" t="s">
        <v>20</v>
      </c>
      <c r="E21" s="7" t="s">
        <v>21</v>
      </c>
      <c r="F21" s="6" t="s">
        <v>182</v>
      </c>
      <c r="G21" s="6" t="s">
        <v>183</v>
      </c>
      <c r="H21" s="8">
        <v>3</v>
      </c>
      <c r="I21" s="8" t="s">
        <v>36</v>
      </c>
      <c r="J21" s="8">
        <v>3</v>
      </c>
      <c r="K21" s="8" t="s">
        <v>33</v>
      </c>
      <c r="L21" s="8">
        <v>3</v>
      </c>
      <c r="M21" s="8" t="s">
        <v>43</v>
      </c>
      <c r="N21" s="8">
        <v>3</v>
      </c>
      <c r="O21" s="8" t="s">
        <v>27</v>
      </c>
      <c r="P21" s="8">
        <v>3</v>
      </c>
      <c r="Q21" s="8" t="s">
        <v>35</v>
      </c>
      <c r="R21" s="8">
        <f t="shared" si="0"/>
        <v>88</v>
      </c>
      <c r="S21" s="9"/>
      <c r="T21" s="10"/>
      <c r="U21" s="10"/>
    </row>
    <row r="22" ht="16.35" customHeight="1" spans="1:21">
      <c r="A22" s="6">
        <v>21</v>
      </c>
      <c r="B22" s="7">
        <v>1</v>
      </c>
      <c r="C22" s="7" t="s">
        <v>19</v>
      </c>
      <c r="D22" s="7" t="s">
        <v>20</v>
      </c>
      <c r="E22" s="7" t="s">
        <v>21</v>
      </c>
      <c r="F22" s="6" t="s">
        <v>184</v>
      </c>
      <c r="G22" s="6" t="s">
        <v>185</v>
      </c>
      <c r="H22" s="8">
        <v>3</v>
      </c>
      <c r="I22" s="8" t="s">
        <v>61</v>
      </c>
      <c r="J22" s="8">
        <v>3</v>
      </c>
      <c r="K22" s="8" t="s">
        <v>43</v>
      </c>
      <c r="L22" s="8">
        <v>3</v>
      </c>
      <c r="M22" s="8" t="s">
        <v>25</v>
      </c>
      <c r="N22" s="8">
        <v>3</v>
      </c>
      <c r="O22" s="8" t="s">
        <v>44</v>
      </c>
      <c r="P22" s="8">
        <v>3</v>
      </c>
      <c r="Q22" s="8" t="s">
        <v>28</v>
      </c>
      <c r="R22" s="8">
        <f t="shared" si="0"/>
        <v>88</v>
      </c>
      <c r="S22" s="9"/>
      <c r="T22" s="10"/>
      <c r="U22" s="10" t="s">
        <v>78</v>
      </c>
    </row>
    <row r="23" ht="16.35" customHeight="1" spans="1:21">
      <c r="A23" s="6">
        <v>22</v>
      </c>
      <c r="B23" s="7">
        <v>1</v>
      </c>
      <c r="C23" s="7" t="s">
        <v>19</v>
      </c>
      <c r="D23" s="7" t="s">
        <v>20</v>
      </c>
      <c r="E23" s="7" t="s">
        <v>21</v>
      </c>
      <c r="F23" s="6" t="s">
        <v>186</v>
      </c>
      <c r="G23" s="6" t="s">
        <v>187</v>
      </c>
      <c r="H23" s="8">
        <v>4</v>
      </c>
      <c r="I23" s="8" t="s">
        <v>40</v>
      </c>
      <c r="J23" s="8">
        <v>4</v>
      </c>
      <c r="K23" s="8" t="s">
        <v>33</v>
      </c>
      <c r="L23" s="8">
        <v>4</v>
      </c>
      <c r="M23" s="8" t="s">
        <v>67</v>
      </c>
      <c r="N23" s="8">
        <v>4</v>
      </c>
      <c r="O23" s="8" t="s">
        <v>34</v>
      </c>
      <c r="P23" s="8">
        <v>4</v>
      </c>
      <c r="Q23" s="8" t="s">
        <v>28</v>
      </c>
      <c r="R23" s="8">
        <f t="shared" si="0"/>
        <v>84</v>
      </c>
      <c r="S23" s="9"/>
      <c r="T23" s="10"/>
      <c r="U23" s="10" t="s">
        <v>44</v>
      </c>
    </row>
    <row r="24" spans="1:21"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10"/>
      <c r="U24" s="10" t="s">
        <v>34</v>
      </c>
    </row>
    <row r="25" spans="1:21"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10"/>
      <c r="U25" s="10" t="s">
        <v>27</v>
      </c>
    </row>
    <row r="26" spans="1:21"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10"/>
      <c r="U26" s="10"/>
    </row>
    <row r="27" ht="24" spans="1:21"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U27" s="12" t="s">
        <v>98</v>
      </c>
    </row>
    <row r="28" ht="24" spans="1:21">
      <c r="H28" s="13"/>
      <c r="J28" s="13"/>
      <c r="L28" s="13"/>
      <c r="N28" s="13"/>
      <c r="P28" s="13"/>
      <c r="R28" s="13"/>
      <c r="U28" s="12" t="s">
        <v>99</v>
      </c>
    </row>
    <row r="29" ht="24" spans="1:21">
      <c r="H29" s="13"/>
      <c r="J29" s="13"/>
      <c r="L29" s="13"/>
      <c r="N29" s="13"/>
      <c r="P29" s="13"/>
      <c r="R29" s="13"/>
      <c r="U29" s="12" t="s">
        <v>100</v>
      </c>
    </row>
    <row r="30" ht="15.5" spans="1:21">
      <c r="H30" s="13"/>
      <c r="J30" s="13"/>
      <c r="L30" s="13"/>
      <c r="N30" s="13"/>
      <c r="P30" s="13"/>
      <c r="R30" s="13"/>
      <c r="U30" s="14" t="s">
        <v>101</v>
      </c>
    </row>
    <row r="31" spans="1:21">
      <c r="H31" s="13"/>
      <c r="J31" s="13"/>
      <c r="L31" s="13"/>
      <c r="N31" s="13"/>
      <c r="P31" s="13"/>
      <c r="R31" s="13"/>
    </row>
    <row r="32" ht="24" spans="1:21">
      <c r="H32" s="13"/>
      <c r="J32" s="13"/>
      <c r="L32" s="13"/>
      <c r="N32" s="13"/>
      <c r="P32" s="13"/>
      <c r="R32" s="13"/>
      <c r="U32" s="12" t="s">
        <v>35</v>
      </c>
    </row>
    <row r="33" spans="8:21">
      <c r="H33" s="13"/>
      <c r="J33" s="13"/>
      <c r="L33" s="13"/>
      <c r="N33" s="13"/>
      <c r="P33" s="13"/>
      <c r="R33" s="13"/>
      <c r="U33" s="12" t="s">
        <v>28</v>
      </c>
    </row>
    <row r="34" spans="8:21">
      <c r="H34" s="13"/>
      <c r="J34" s="13"/>
      <c r="L34" s="13"/>
      <c r="N34" s="13"/>
      <c r="P34" s="13"/>
      <c r="R34" s="13"/>
      <c r="U34" s="12" t="s">
        <v>45</v>
      </c>
    </row>
  </sheetData>
  <dataValidations count="5">
    <dataValidation type="list" allowBlank="1" showInputMessage="1" sqref="I2:I26">
      <formula1>$U$2:$U$11</formula1>
    </dataValidation>
    <dataValidation type="list" allowBlank="1" showInputMessage="1" showErrorMessage="1" sqref="K2:K26">
      <formula1>$U$13:$U$20</formula1>
    </dataValidation>
    <dataValidation type="list" allowBlank="1" showInputMessage="1" showErrorMessage="1" sqref="M2:M26">
      <formula1>$U$13:$U$18</formula1>
    </dataValidation>
    <dataValidation type="list" allowBlank="1" showInputMessage="1" sqref="O2:O26">
      <formula1>$U$22:$U$25</formula1>
    </dataValidation>
    <dataValidation type="list" allowBlank="1" showInputMessage="1" sqref="Q2:Q26">
      <formula1>$U$32:$U$34</formula1>
    </dataValidation>
  </dataValidation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软件1801</vt:lpstr>
      <vt:lpstr>软件1802</vt:lpstr>
      <vt:lpstr>软件1803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马芳琼0423</cp:lastModifiedBy>
  <dcterms:created xsi:type="dcterms:W3CDTF">2021-01-07T01:59:00Z</dcterms:created>
  <dcterms:modified xsi:type="dcterms:W3CDTF">2026-07-14T06:44:37Z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DDA76FD89B8543E5901530CCB715A5F4_13</vt:lpwstr>
  </property>
  <property fmtid="{D5CDD505-2E9C-101B-9397-08002B2CF9AE}" pid="4" name="CalculationRule">
    <vt:i4>0</vt:i4>
  </property>
</Properties>
</file>