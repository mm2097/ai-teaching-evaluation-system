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40" windowHeight="1175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<sst xmlns="http://schemas.openxmlformats.org/spreadsheetml/2006/main" count="194" uniqueCount="151">
  <si>
    <t>编号</t>
  </si>
  <si>
    <t>学号</t>
  </si>
  <si>
    <t>姓名</t>
  </si>
  <si>
    <t>期中成绩</t>
  </si>
  <si>
    <t>作业成绩</t>
  </si>
  <si>
    <t>课堂平时成绩</t>
  </si>
  <si>
    <t>平时成绩1</t>
  </si>
  <si>
    <t>课程设计</t>
  </si>
  <si>
    <t>实验成绩</t>
  </si>
  <si>
    <t>小班讨论成绩</t>
  </si>
  <si>
    <t>平时成绩2</t>
  </si>
  <si>
    <t>201726010101</t>
  </si>
  <si>
    <t>孔祥宁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</si>
  <si>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</si>
  <si>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</si>
  <si>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</si>
  <si>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</si>
  <si>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</si>
  <si>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</si>
  <si>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</si>
  <si>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</si>
  <si>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</si>
  <si>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</si>
  <si>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</si>
  <si>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</si>
  <si>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</si>
  <si>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</si>
  <si>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</si>
  <si>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</si>
  <si>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</si>
  <si>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</si>
  <si>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</si>
  <si>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</si>
  <si>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</si>
  <si>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</si>
  <si>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</si>
  <si>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</si>
  <si>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</si>
  <si>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</si>
  <si>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</si>
  <si>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</si>
  <si>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</si>
  <si>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</si>
  <si>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</si>
  <si>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</si>
  <si>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</si>
  <si>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</si>
  <si>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</si>
  <si>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</si>
  <si>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</si>
  <si>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</si>
  <si>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</si>
  <si>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</si>
  <si>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</si>
  <si>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</si>
  <si>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</si>
  <si>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</si>
  <si>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</si>
  <si>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</si>
  <si>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</si>
  <si>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</si>
  <si>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</si>
  <si>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</si>
  <si>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</si>
  <si>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</si>
  <si>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</si>
  <si>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</si>
  <si>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</si>
  <si>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</si>
  <si>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</si>
  <si>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</si>
  <si>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</si>
  <si>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</si>
  <si>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</si>
  <si>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</si>
  <si>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</si>
  <si>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</si>
  <si>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</si>
  <si>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</si>
  <si>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</si>
  <si>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</si>
  <si>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</si>
  <si>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</si>
  <si>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</si>
  <si>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</si>
  <si>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</si>
  <si>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</si>
  <si>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</si>
  <si>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</si>
  <si>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</si>
  <si>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</si>
  <si>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</si>
  <si>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</si>
  <si>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</si>
  <si>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</si>
  <si>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</si>
  <si>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</si>
  <si>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</si>
  <si>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</si>
  <si>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</si>
  <si>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</si>
  <si>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</si>
  <si>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</si>
  <si>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课程名称</t>
  </si>
  <si>
    <t>期末成绩</t>
  </si>
  <si>
    <t>总评成绩</t>
  </si>
  <si>
    <t>计算机网络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</si>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</sst>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b/>
      <sz val="16"/>
      <color rgb="FF000000"/>
      <name val="宋体"/>
      <charset val="134"/>
      <scheme val="minor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7" fontId="0" fillId="0" borderId="0" xfId="0" applyNumberFormat="1" applyFo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  <xf numFmtId="0" fontId="0" fillId="0" borderId="1" xfId="0" applyFont="1" applyBorder="1" quotePrefix="1">
      <alignment vertical="center"/>
    </xf>
    <xf numFmtId="0" fontId="3" fillId="0" borderId="2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B23" sqref="B23"/>
    </sheetView>
  </sheetViews>
  <sheetFormatPr defaultColWidth="9" defaultRowHeight="14"/>
  <cols>
    <col min="2" max="2" width="12" customWidth="1"/>
    <col min="6" max="6" width="16.3727272727273" customWidth="1"/>
    <col min="7" max="7" width="12.7545454545455" customWidth="1"/>
    <col min="8" max="8" width="16.3727272727273" customWidth="1"/>
    <col min="10" max="10" width="10.8727272727273" customWidth="1"/>
  </cols>
  <sheetData>
    <row r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5" t="s">
        <v>10</v>
      </c>
      <c r="L1" s="10"/>
    </row>
    <row r="2" ht="22" customHeight="1" spans="1:12">
      <c r="A2" s="10">
        <v>1</v>
      </c>
      <c r="B2" s="10" t="s">
        <v>11</v>
      </c>
      <c r="C2" s="10" t="s">
        <v>12</v>
      </c>
      <c r="D2" s="10">
        <v>88</v>
      </c>
      <c r="E2" s="10">
        <v>65</v>
      </c>
      <c r="F2" s="10">
        <v>72</v>
      </c>
      <c r="G2" s="10">
        <f>ROUND(AVERAGE(D2:F2),0)</f>
        <v>75</v>
      </c>
      <c r="H2" s="10">
        <v>60</v>
      </c>
      <c r="I2" s="10">
        <v>0</v>
      </c>
      <c r="J2" s="10">
        <v>67</v>
      </c>
      <c r="K2" s="10">
        <f>ROUND(AVERAGE(H2:J2),0)</f>
        <v>42</v>
      </c>
    </row>
    <row r="3" ht="22" customHeight="1" spans="1:12">
      <c r="A3" s="10">
        <v>2</v>
      </c>
      <c r="B3" s="10" t="s">
        <v>13</v>
      </c>
      <c r="C3" s="10" t="s">
        <v>14</v>
      </c>
      <c r="D3" s="10">
        <v>83</v>
      </c>
      <c r="E3" s="10">
        <v>96</v>
      </c>
      <c r="F3" s="10">
        <v>96</v>
      </c>
      <c r="G3" s="10">
        <f t="shared" ref="G3:G26" si="0">ROUND(AVERAGE(D3:F3),0)</f>
        <v>92</v>
      </c>
      <c r="H3" s="10">
        <v>80</v>
      </c>
      <c r="I3" s="10">
        <v>84</v>
      </c>
      <c r="J3" s="10">
        <v>84</v>
      </c>
      <c r="K3" s="10">
        <f t="shared" ref="K3:K26" si="1">ROUND(AVERAGE(H3:J3),0)</f>
        <v>83</v>
      </c>
    </row>
    <row r="4" ht="22" customHeight="1" spans="1:12">
      <c r="A4" s="10">
        <v>3</v>
      </c>
      <c r="B4" s="10" t="s">
        <v>15</v>
      </c>
      <c r="C4" s="10" t="s">
        <v>16</v>
      </c>
      <c r="D4" s="10">
        <v>87</v>
      </c>
      <c r="E4" s="10">
        <v>89</v>
      </c>
      <c r="F4" s="10">
        <v>94</v>
      </c>
      <c r="G4" s="10">
        <f t="shared" si="0"/>
        <v>90</v>
      </c>
      <c r="H4" s="10">
        <v>95</v>
      </c>
      <c r="I4" s="10">
        <v>92</v>
      </c>
      <c r="J4" s="10">
        <v>90</v>
      </c>
      <c r="K4" s="10">
        <f t="shared" si="1"/>
        <v>92</v>
      </c>
    </row>
    <row r="5" ht="22" customHeight="1" spans="1:12">
      <c r="A5" s="10">
        <v>4</v>
      </c>
      <c r="B5" s="10" t="s">
        <v>17</v>
      </c>
      <c r="C5" s="10" t="s">
        <v>18</v>
      </c>
      <c r="D5" s="10">
        <v>76</v>
      </c>
      <c r="E5" s="10">
        <v>85</v>
      </c>
      <c r="F5" s="10">
        <v>90</v>
      </c>
      <c r="G5" s="10">
        <f t="shared" si="0"/>
        <v>84</v>
      </c>
      <c r="H5" s="10">
        <v>90</v>
      </c>
      <c r="I5" s="10">
        <v>88</v>
      </c>
      <c r="J5" s="10">
        <v>85</v>
      </c>
      <c r="K5" s="10">
        <f t="shared" si="1"/>
        <v>88</v>
      </c>
    </row>
    <row r="6" ht="22" customHeight="1" spans="1:12">
      <c r="A6" s="10">
        <v>5</v>
      </c>
      <c r="B6" s="10" t="s">
        <v>19</v>
      </c>
      <c r="C6" s="10" t="s">
        <v>20</v>
      </c>
      <c r="D6" s="10">
        <v>89</v>
      </c>
      <c r="E6" s="10">
        <v>87</v>
      </c>
      <c r="F6" s="10">
        <v>91</v>
      </c>
      <c r="G6" s="10">
        <f t="shared" si="0"/>
        <v>89</v>
      </c>
      <c r="H6" s="10">
        <v>93</v>
      </c>
      <c r="I6" s="10">
        <v>87</v>
      </c>
      <c r="J6" s="10">
        <v>78</v>
      </c>
      <c r="K6" s="10">
        <f t="shared" si="1"/>
        <v>86</v>
      </c>
    </row>
    <row r="7" ht="22" customHeight="1" spans="1:12">
      <c r="A7" s="10">
        <v>6</v>
      </c>
      <c r="B7" s="17" t="s">
        <v>21</v>
      </c>
      <c r="C7" s="10" t="s">
        <v>22</v>
      </c>
      <c r="D7" s="10">
        <v>85</v>
      </c>
      <c r="E7" s="10">
        <v>88</v>
      </c>
      <c r="F7" s="10">
        <v>92</v>
      </c>
      <c r="G7" s="10">
        <f t="shared" si="0"/>
        <v>88</v>
      </c>
      <c r="H7" s="10">
        <v>93</v>
      </c>
      <c r="I7" s="10">
        <v>90</v>
      </c>
      <c r="J7" s="10">
        <v>78</v>
      </c>
      <c r="K7" s="10">
        <f t="shared" si="1"/>
        <v>87</v>
      </c>
    </row>
    <row r="8" ht="22" customHeight="1" spans="1:12">
      <c r="A8" s="10">
        <v>7</v>
      </c>
      <c r="B8" s="10" t="s">
        <v>23</v>
      </c>
      <c r="C8" s="10" t="s">
        <v>24</v>
      </c>
      <c r="D8" s="10">
        <v>89</v>
      </c>
      <c r="E8" s="10">
        <v>78</v>
      </c>
      <c r="F8" s="10">
        <v>92</v>
      </c>
      <c r="G8" s="10">
        <f t="shared" si="0"/>
        <v>86</v>
      </c>
      <c r="H8" s="10">
        <v>85</v>
      </c>
      <c r="I8" s="10">
        <v>84</v>
      </c>
      <c r="J8" s="10">
        <v>78</v>
      </c>
      <c r="K8" s="10">
        <f t="shared" si="1"/>
        <v>82</v>
      </c>
    </row>
    <row r="9" ht="22" customHeight="1" spans="1:12">
      <c r="A9" s="10">
        <v>8</v>
      </c>
      <c r="B9" s="10" t="s">
        <v>25</v>
      </c>
      <c r="C9" s="10" t="s">
        <v>26</v>
      </c>
      <c r="D9" s="10">
        <v>87</v>
      </c>
      <c r="E9" s="10">
        <v>98</v>
      </c>
      <c r="F9" s="10">
        <v>97</v>
      </c>
      <c r="G9" s="10">
        <f t="shared" si="0"/>
        <v>94</v>
      </c>
      <c r="H9" s="10">
        <v>93</v>
      </c>
      <c r="I9" s="10">
        <v>93</v>
      </c>
      <c r="J9" s="10">
        <v>79</v>
      </c>
      <c r="K9" s="10">
        <f t="shared" si="1"/>
        <v>88</v>
      </c>
    </row>
    <row r="10" ht="22" customHeight="1" spans="1:12">
      <c r="A10" s="10">
        <v>9</v>
      </c>
      <c r="B10" s="10" t="s">
        <v>27</v>
      </c>
      <c r="C10" s="10" t="s">
        <v>28</v>
      </c>
      <c r="D10" s="10">
        <v>93</v>
      </c>
      <c r="E10" s="10">
        <v>94</v>
      </c>
      <c r="F10" s="10">
        <v>94</v>
      </c>
      <c r="G10" s="10">
        <f t="shared" si="0"/>
        <v>94</v>
      </c>
      <c r="H10" s="10">
        <v>95</v>
      </c>
      <c r="I10" s="10">
        <v>92</v>
      </c>
      <c r="J10" s="10">
        <v>91</v>
      </c>
      <c r="K10" s="10">
        <f t="shared" si="1"/>
        <v>93</v>
      </c>
    </row>
    <row r="11" ht="22" customHeight="1" spans="1:12">
      <c r="A11" s="10">
        <v>10</v>
      </c>
      <c r="B11" s="10" t="s">
        <v>29</v>
      </c>
      <c r="C11" s="10" t="s">
        <v>30</v>
      </c>
      <c r="D11" s="10">
        <v>83</v>
      </c>
      <c r="E11" s="10">
        <v>88</v>
      </c>
      <c r="F11" s="10">
        <v>96</v>
      </c>
      <c r="G11" s="10">
        <f t="shared" si="0"/>
        <v>89</v>
      </c>
      <c r="H11" s="10">
        <v>90</v>
      </c>
      <c r="I11" s="10">
        <v>85</v>
      </c>
      <c r="J11" s="10">
        <v>86</v>
      </c>
      <c r="K11" s="10">
        <f t="shared" si="1"/>
        <v>87</v>
      </c>
    </row>
    <row r="12" ht="22" customHeight="1" spans="1:12">
      <c r="A12" s="10">
        <v>11</v>
      </c>
      <c r="B12" s="10" t="s">
        <v>31</v>
      </c>
      <c r="C12" s="10" t="s">
        <v>32</v>
      </c>
      <c r="D12" s="10">
        <v>81</v>
      </c>
      <c r="E12" s="10">
        <v>83</v>
      </c>
      <c r="F12" s="10">
        <v>97</v>
      </c>
      <c r="G12" s="10">
        <f t="shared" si="0"/>
        <v>87</v>
      </c>
      <c r="H12" s="10">
        <v>80</v>
      </c>
      <c r="I12" s="10">
        <v>87</v>
      </c>
      <c r="J12" s="10">
        <v>85</v>
      </c>
      <c r="K12" s="10">
        <f t="shared" si="1"/>
        <v>84</v>
      </c>
    </row>
    <row r="13" ht="22" customHeight="1" spans="1:12">
      <c r="A13" s="10">
        <v>12</v>
      </c>
      <c r="B13" s="10" t="s">
        <v>33</v>
      </c>
      <c r="C13" s="10" t="s">
        <v>34</v>
      </c>
      <c r="D13" s="10">
        <v>80</v>
      </c>
      <c r="E13" s="10">
        <v>89</v>
      </c>
      <c r="F13" s="10">
        <v>90</v>
      </c>
      <c r="G13" s="10">
        <f t="shared" si="0"/>
        <v>86</v>
      </c>
      <c r="H13" s="10">
        <v>90</v>
      </c>
      <c r="I13" s="10">
        <v>86</v>
      </c>
      <c r="J13" s="10">
        <v>88</v>
      </c>
      <c r="K13" s="10">
        <f t="shared" si="1"/>
        <v>88</v>
      </c>
    </row>
    <row r="14" ht="22" customHeight="1" spans="1:12">
      <c r="A14" s="10">
        <v>13</v>
      </c>
      <c r="B14" s="10" t="s">
        <v>35</v>
      </c>
      <c r="C14" s="10" t="s">
        <v>36</v>
      </c>
      <c r="D14" s="10">
        <v>89</v>
      </c>
      <c r="E14" s="10">
        <v>93</v>
      </c>
      <c r="F14" s="10">
        <v>92</v>
      </c>
      <c r="G14" s="10">
        <f t="shared" si="0"/>
        <v>91</v>
      </c>
      <c r="H14" s="10">
        <v>94</v>
      </c>
      <c r="I14" s="10">
        <v>94</v>
      </c>
      <c r="J14" s="10">
        <v>91</v>
      </c>
      <c r="K14" s="10">
        <f t="shared" si="1"/>
        <v>93</v>
      </c>
    </row>
    <row r="15" ht="22" customHeight="1" spans="1:12">
      <c r="A15" s="10">
        <v>14</v>
      </c>
      <c r="B15" s="10" t="s">
        <v>37</v>
      </c>
      <c r="C15" s="10" t="s">
        <v>38</v>
      </c>
      <c r="D15" s="10">
        <v>96</v>
      </c>
      <c r="E15" s="10">
        <v>89</v>
      </c>
      <c r="F15" s="10">
        <v>94</v>
      </c>
      <c r="G15" s="10">
        <f t="shared" si="0"/>
        <v>93</v>
      </c>
      <c r="H15" s="10">
        <v>90</v>
      </c>
      <c r="I15" s="10">
        <v>87</v>
      </c>
      <c r="J15" s="10">
        <v>84</v>
      </c>
      <c r="K15" s="10">
        <f t="shared" si="1"/>
        <v>87</v>
      </c>
    </row>
    <row r="16" ht="22" customHeight="1" spans="1:12">
      <c r="A16" s="10">
        <v>15</v>
      </c>
      <c r="B16" s="10" t="s">
        <v>39</v>
      </c>
      <c r="C16" s="10" t="s">
        <v>40</v>
      </c>
      <c r="D16" s="10">
        <v>85</v>
      </c>
      <c r="E16" s="10">
        <v>96</v>
      </c>
      <c r="F16" s="10">
        <v>100</v>
      </c>
      <c r="G16" s="10">
        <f t="shared" si="0"/>
        <v>94</v>
      </c>
      <c r="H16" s="10">
        <v>93</v>
      </c>
      <c r="I16" s="10">
        <v>91</v>
      </c>
      <c r="J16" s="10">
        <v>79</v>
      </c>
      <c r="K16" s="10">
        <f t="shared" si="1"/>
        <v>88</v>
      </c>
    </row>
    <row r="17" ht="22" customHeight="1" spans="1:11">
      <c r="A17" s="10">
        <v>16</v>
      </c>
      <c r="B17" s="10" t="s">
        <v>41</v>
      </c>
      <c r="C17" s="10" t="s">
        <v>42</v>
      </c>
      <c r="D17" s="10">
        <v>85</v>
      </c>
      <c r="E17" s="10">
        <v>90</v>
      </c>
      <c r="F17" s="10">
        <v>95</v>
      </c>
      <c r="G17" s="10">
        <f t="shared" si="0"/>
        <v>90</v>
      </c>
      <c r="H17" s="10">
        <v>85</v>
      </c>
      <c r="I17" s="10">
        <v>91</v>
      </c>
      <c r="J17" s="10">
        <v>87</v>
      </c>
      <c r="K17" s="10">
        <f t="shared" si="1"/>
        <v>88</v>
      </c>
    </row>
    <row r="18" ht="22" customHeight="1" spans="1:11">
      <c r="A18" s="10">
        <v>17</v>
      </c>
      <c r="B18" s="10" t="s">
        <v>43</v>
      </c>
      <c r="C18" s="10" t="s">
        <v>44</v>
      </c>
      <c r="D18" s="10">
        <v>96</v>
      </c>
      <c r="E18" s="10">
        <v>87</v>
      </c>
      <c r="F18" s="10">
        <v>93</v>
      </c>
      <c r="G18" s="10">
        <f t="shared" si="0"/>
        <v>92</v>
      </c>
      <c r="H18" s="10">
        <v>94</v>
      </c>
      <c r="I18" s="10">
        <v>81</v>
      </c>
      <c r="J18" s="10">
        <v>89</v>
      </c>
      <c r="K18" s="10">
        <f t="shared" si="1"/>
        <v>88</v>
      </c>
    </row>
    <row r="19" ht="22" customHeight="1" spans="1:11">
      <c r="A19" s="10">
        <v>18</v>
      </c>
      <c r="B19" s="10" t="s">
        <v>45</v>
      </c>
      <c r="C19" s="10" t="s">
        <v>46</v>
      </c>
      <c r="D19" s="10">
        <v>56</v>
      </c>
      <c r="E19" s="10">
        <v>92</v>
      </c>
      <c r="F19" s="10">
        <v>88</v>
      </c>
      <c r="G19" s="10">
        <f t="shared" si="0"/>
        <v>79</v>
      </c>
      <c r="H19" s="10">
        <v>90</v>
      </c>
      <c r="I19" s="10">
        <v>84</v>
      </c>
      <c r="J19" s="10">
        <v>85</v>
      </c>
      <c r="K19" s="10">
        <f t="shared" si="1"/>
        <v>86</v>
      </c>
    </row>
    <row r="20" ht="22" customHeight="1" spans="1:11">
      <c r="A20" s="10">
        <v>19</v>
      </c>
      <c r="B20" s="10" t="s">
        <v>47</v>
      </c>
      <c r="C20" s="10" t="s">
        <v>48</v>
      </c>
      <c r="D20" s="10">
        <v>91</v>
      </c>
      <c r="E20" s="10">
        <v>89</v>
      </c>
      <c r="F20" s="10">
        <v>89</v>
      </c>
      <c r="G20" s="10">
        <f t="shared" si="0"/>
        <v>90</v>
      </c>
      <c r="H20" s="10">
        <v>90</v>
      </c>
      <c r="I20" s="10">
        <v>85</v>
      </c>
      <c r="J20" s="10">
        <v>86</v>
      </c>
      <c r="K20" s="10">
        <f t="shared" si="1"/>
        <v>87</v>
      </c>
    </row>
    <row r="21" ht="22" customHeight="1" spans="1:11">
      <c r="A21" s="10">
        <v>20</v>
      </c>
      <c r="B21" s="10" t="s">
        <v>49</v>
      </c>
      <c r="C21" s="10" t="s">
        <v>50</v>
      </c>
      <c r="D21" s="10">
        <v>84</v>
      </c>
      <c r="E21" s="10">
        <v>94</v>
      </c>
      <c r="F21" s="10">
        <v>92</v>
      </c>
      <c r="G21" s="10">
        <f t="shared" si="0"/>
        <v>90</v>
      </c>
      <c r="H21" s="10">
        <v>85</v>
      </c>
      <c r="I21" s="10">
        <v>85</v>
      </c>
      <c r="J21" s="10">
        <v>80</v>
      </c>
      <c r="K21" s="10">
        <f t="shared" si="1"/>
        <v>83</v>
      </c>
    </row>
    <row r="22" ht="22" customHeight="1" spans="1:11">
      <c r="A22" s="10">
        <v>21</v>
      </c>
      <c r="B22" s="10" t="s">
        <v>51</v>
      </c>
      <c r="C22" s="10" t="s">
        <v>52</v>
      </c>
      <c r="D22" s="10">
        <v>77</v>
      </c>
      <c r="E22" s="10">
        <v>95</v>
      </c>
      <c r="F22" s="10">
        <v>92</v>
      </c>
      <c r="G22" s="10">
        <f t="shared" si="0"/>
        <v>88</v>
      </c>
      <c r="H22" s="10">
        <v>80</v>
      </c>
      <c r="I22" s="10">
        <v>84</v>
      </c>
      <c r="J22" s="10">
        <v>87</v>
      </c>
      <c r="K22" s="10">
        <f t="shared" si="1"/>
        <v>84</v>
      </c>
    </row>
    <row r="23" ht="22" customHeight="1" spans="1:11">
      <c r="A23" s="10">
        <v>22</v>
      </c>
      <c r="B23" s="17" t="s">
        <v>53</v>
      </c>
      <c r="C23" s="10" t="s">
        <v>54</v>
      </c>
      <c r="D23" s="10">
        <v>96</v>
      </c>
      <c r="E23" s="10">
        <v>95</v>
      </c>
      <c r="F23" s="10">
        <v>97</v>
      </c>
      <c r="G23" s="10">
        <f t="shared" si="0"/>
        <v>96</v>
      </c>
      <c r="H23" s="10">
        <v>95</v>
      </c>
      <c r="I23" s="10">
        <v>95</v>
      </c>
      <c r="J23" s="10">
        <v>93</v>
      </c>
      <c r="K23" s="10">
        <f t="shared" si="1"/>
        <v>94</v>
      </c>
    </row>
    <row r="24" ht="22" customHeight="1" spans="1:11">
      <c r="A24" s="10">
        <v>23</v>
      </c>
      <c r="B24" s="10" t="s">
        <v>55</v>
      </c>
      <c r="C24" s="10" t="s">
        <v>56</v>
      </c>
      <c r="D24" s="10">
        <v>95</v>
      </c>
      <c r="E24" s="10">
        <v>92</v>
      </c>
      <c r="F24" s="10">
        <v>97</v>
      </c>
      <c r="G24" s="10">
        <f t="shared" si="0"/>
        <v>95</v>
      </c>
      <c r="H24" s="10">
        <v>94</v>
      </c>
      <c r="I24" s="10">
        <v>94</v>
      </c>
      <c r="J24" s="10">
        <v>91</v>
      </c>
      <c r="K24" s="10">
        <f t="shared" si="1"/>
        <v>93</v>
      </c>
    </row>
    <row r="25" ht="22" customHeight="1" spans="1:11">
      <c r="A25" s="10">
        <v>24</v>
      </c>
      <c r="B25" s="10" t="s">
        <v>57</v>
      </c>
      <c r="C25" s="10" t="s">
        <v>58</v>
      </c>
      <c r="D25" s="10">
        <v>42</v>
      </c>
      <c r="E25" s="10">
        <v>84</v>
      </c>
      <c r="F25" s="10">
        <v>86</v>
      </c>
      <c r="G25" s="10">
        <f t="shared" si="0"/>
        <v>71</v>
      </c>
      <c r="H25" s="10">
        <v>94</v>
      </c>
      <c r="I25" s="10">
        <v>84</v>
      </c>
      <c r="J25" s="10">
        <v>90</v>
      </c>
      <c r="K25" s="10">
        <f t="shared" si="1"/>
        <v>89</v>
      </c>
    </row>
    <row r="26" spans="1:11">
      <c r="A26" s="16">
        <v>25</v>
      </c>
      <c r="B26" s="18" t="s">
        <v>59</v>
      </c>
      <c r="C26" s="9" t="s">
        <v>60</v>
      </c>
      <c r="D26" s="10">
        <v>43</v>
      </c>
      <c r="E26" s="10">
        <v>95</v>
      </c>
      <c r="F26" s="10">
        <v>94</v>
      </c>
      <c r="G26" s="10">
        <f t="shared" si="0"/>
        <v>77</v>
      </c>
      <c r="H26" s="10">
        <v>80</v>
      </c>
      <c r="I26" s="10">
        <v>86</v>
      </c>
      <c r="J26" s="10">
        <v>85</v>
      </c>
      <c r="K26" s="10">
        <f t="shared" si="1"/>
        <v>84</v>
      </c>
    </row>
    <row r="27" spans="1:11">
      <c r="D27">
        <f>AVERAGE(D2:D26)</f>
        <v>82.24</v>
      </c>
      <c r="E27">
        <f>AVERAGE(E2:E26)</f>
        <v>89.24</v>
      </c>
      <c r="F27">
        <f>AVERAGE(F2:F26)</f>
        <v>92.4</v>
      </c>
      <c r="G27">
        <f>AVERAGE(G2:G26)</f>
        <v>88</v>
      </c>
      <c r="H27">
        <f>AVERAGE(H26:H26)</f>
        <v>80</v>
      </c>
      <c r="I27">
        <f>AVERAGE(I26:I26)</f>
        <v>86</v>
      </c>
      <c r="J27">
        <f>AVERAGE(J26:J26)</f>
        <v>85</v>
      </c>
      <c r="K27">
        <f>AVERAGE(K26:K26)</f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L26" sqref="L26"/>
    </sheetView>
  </sheetViews>
  <sheetFormatPr defaultColWidth="9" defaultRowHeight="14"/>
  <cols>
    <col min="2" max="2" width="13.6272727272727" customWidth="1"/>
    <col min="3" max="3" width="14.6272727272727" customWidth="1"/>
    <col min="4" max="4" width="13.7545454545455" customWidth="1"/>
    <col min="5" max="5" width="12.7545454545455" customWidth="1"/>
    <col min="7" max="7" width="9.62727272727273"/>
    <col min="9" max="9" width="11.2545454545455" customWidth="1"/>
    <col min="10" max="10" width="13.8727272727273" customWidth="1"/>
  </cols>
  <sheetData>
    <row r="1" ht="21" spans="1:13">
      <c r="A1" s="8"/>
      <c r="B1" s="8"/>
      <c r="C1" s="8"/>
    </row>
    <row r="2" customFormat="1" spans="1:13">
      <c r="A2" s="9" t="s">
        <v>0</v>
      </c>
      <c r="B2" s="10" t="s">
        <v>1</v>
      </c>
      <c r="C2" s="10" t="s">
        <v>2</v>
      </c>
      <c r="D2" s="11" t="s">
        <v>3</v>
      </c>
      <c r="E2" s="11" t="s">
        <v>5</v>
      </c>
      <c r="F2" s="11" t="s">
        <v>4</v>
      </c>
      <c r="G2" s="12" t="s">
        <v>6</v>
      </c>
      <c r="H2" s="11" t="s">
        <v>8</v>
      </c>
      <c r="I2" s="11" t="s">
        <v>9</v>
      </c>
      <c r="J2" s="11" t="s">
        <v>7</v>
      </c>
      <c r="K2" s="12" t="s">
        <v>10</v>
      </c>
    </row>
    <row r="3" customFormat="1" ht="16.35" customHeight="1" spans="1:13">
      <c r="A3" s="6">
        <v>1</v>
      </c>
      <c r="B3" s="6" t="s">
        <v>61</v>
      </c>
      <c r="C3" s="11" t="s">
        <v>62</v>
      </c>
      <c r="D3" s="11">
        <v>71</v>
      </c>
      <c r="E3" s="11">
        <v>94</v>
      </c>
      <c r="F3" s="11">
        <v>93</v>
      </c>
      <c r="G3" s="11">
        <f>ROUND(AVERAGE(D3:F3),0)</f>
        <v>86</v>
      </c>
      <c r="H3" s="11">
        <v>82</v>
      </c>
      <c r="I3" s="11">
        <v>86</v>
      </c>
      <c r="J3" s="11">
        <v>87</v>
      </c>
      <c r="K3" s="11">
        <f>ROUND(AVERAGE(H3:J3),0)</f>
        <v>85</v>
      </c>
      <c r="M3">
        <f>E3-3</f>
        <v>91</v>
      </c>
    </row>
    <row r="4" customFormat="1" ht="16.35" customHeight="1" spans="1:13">
      <c r="A4" s="6">
        <v>2</v>
      </c>
      <c r="B4" s="6" t="s">
        <v>63</v>
      </c>
      <c r="C4" s="11" t="s">
        <v>64</v>
      </c>
      <c r="D4" s="11">
        <v>94</v>
      </c>
      <c r="E4" s="11">
        <v>88</v>
      </c>
      <c r="F4" s="11">
        <v>87</v>
      </c>
      <c r="G4" s="11">
        <f t="shared" ref="G4:G23" si="0">ROUND(AVERAGE(D4:F4),0)</f>
        <v>90</v>
      </c>
      <c r="H4" s="11">
        <v>90</v>
      </c>
      <c r="I4" s="11">
        <v>88</v>
      </c>
      <c r="J4" s="11">
        <v>88</v>
      </c>
      <c r="K4" s="11">
        <f t="shared" ref="K4:K23" si="1">ROUND(AVERAGE(H4:J4),0)</f>
        <v>89</v>
      </c>
      <c r="M4">
        <f t="shared" ref="M4:M23" si="2">E4-3</f>
        <v>85</v>
      </c>
    </row>
    <row r="5" customFormat="1" ht="16.35" customHeight="1" spans="1:13">
      <c r="A5" s="6">
        <v>3</v>
      </c>
      <c r="B5" s="6" t="s">
        <v>65</v>
      </c>
      <c r="C5" s="11" t="s">
        <v>66</v>
      </c>
      <c r="D5" s="11">
        <v>87</v>
      </c>
      <c r="E5" s="11">
        <v>86</v>
      </c>
      <c r="F5" s="11">
        <v>87</v>
      </c>
      <c r="G5" s="11">
        <f t="shared" si="0"/>
        <v>87</v>
      </c>
      <c r="H5" s="11">
        <v>90</v>
      </c>
      <c r="I5" s="11">
        <v>90</v>
      </c>
      <c r="J5" s="11">
        <v>91</v>
      </c>
      <c r="K5" s="11">
        <f t="shared" si="1"/>
        <v>90</v>
      </c>
      <c r="M5">
        <f t="shared" si="2"/>
        <v>83</v>
      </c>
    </row>
    <row r="6" customFormat="1" ht="16.35" customHeight="1" spans="1:13">
      <c r="A6" s="6">
        <v>4</v>
      </c>
      <c r="B6" s="6" t="s">
        <v>67</v>
      </c>
      <c r="C6" s="11" t="s">
        <v>68</v>
      </c>
      <c r="D6" s="11">
        <v>90</v>
      </c>
      <c r="E6" s="11">
        <v>93</v>
      </c>
      <c r="F6" s="11">
        <v>91</v>
      </c>
      <c r="G6" s="11">
        <f t="shared" si="0"/>
        <v>91</v>
      </c>
      <c r="H6" s="11">
        <v>91</v>
      </c>
      <c r="I6" s="11">
        <v>90</v>
      </c>
      <c r="J6" s="11">
        <v>90</v>
      </c>
      <c r="K6" s="11">
        <f t="shared" si="1"/>
        <v>90</v>
      </c>
      <c r="M6">
        <f t="shared" si="2"/>
        <v>90</v>
      </c>
    </row>
    <row r="7" customFormat="1" ht="16.35" customHeight="1" spans="1:13">
      <c r="A7" s="6">
        <v>5</v>
      </c>
      <c r="B7" s="6" t="s">
        <v>69</v>
      </c>
      <c r="C7" s="11" t="s">
        <v>70</v>
      </c>
      <c r="D7" s="11">
        <v>90</v>
      </c>
      <c r="E7" s="11">
        <v>92</v>
      </c>
      <c r="F7" s="11">
        <v>96</v>
      </c>
      <c r="G7" s="11">
        <f t="shared" si="0"/>
        <v>93</v>
      </c>
      <c r="H7" s="11">
        <v>88</v>
      </c>
      <c r="I7" s="11">
        <v>90</v>
      </c>
      <c r="J7" s="11">
        <v>90</v>
      </c>
      <c r="K7" s="11">
        <f t="shared" si="1"/>
        <v>89</v>
      </c>
      <c r="M7">
        <f t="shared" si="2"/>
        <v>89</v>
      </c>
    </row>
    <row r="8" customFormat="1" ht="16.35" customHeight="1" spans="1:13">
      <c r="A8" s="6">
        <v>6</v>
      </c>
      <c r="B8" s="6" t="s">
        <v>71</v>
      </c>
      <c r="C8" s="11" t="s">
        <v>72</v>
      </c>
      <c r="D8" s="11">
        <v>92</v>
      </c>
      <c r="E8" s="11">
        <v>93</v>
      </c>
      <c r="F8" s="11">
        <v>91</v>
      </c>
      <c r="G8" s="11">
        <f t="shared" si="0"/>
        <v>92</v>
      </c>
      <c r="H8" s="11">
        <v>84</v>
      </c>
      <c r="I8" s="11">
        <v>90</v>
      </c>
      <c r="J8" s="11">
        <v>91</v>
      </c>
      <c r="K8" s="11">
        <f t="shared" si="1"/>
        <v>88</v>
      </c>
      <c r="M8">
        <f t="shared" si="2"/>
        <v>90</v>
      </c>
    </row>
    <row r="9" customFormat="1" ht="16.35" customHeight="1" spans="1:13">
      <c r="A9" s="6">
        <v>7</v>
      </c>
      <c r="B9" s="6" t="s">
        <v>73</v>
      </c>
      <c r="C9" s="11" t="s">
        <v>74</v>
      </c>
      <c r="D9" s="11">
        <v>86</v>
      </c>
      <c r="E9" s="11">
        <v>93</v>
      </c>
      <c r="F9" s="11">
        <v>85</v>
      </c>
      <c r="G9" s="11">
        <f t="shared" si="0"/>
        <v>88</v>
      </c>
      <c r="H9" s="11">
        <v>88</v>
      </c>
      <c r="I9" s="11">
        <v>87</v>
      </c>
      <c r="J9" s="11">
        <v>88</v>
      </c>
      <c r="K9" s="11">
        <f t="shared" si="1"/>
        <v>88</v>
      </c>
      <c r="M9">
        <f t="shared" si="2"/>
        <v>90</v>
      </c>
    </row>
    <row r="10" customFormat="1" ht="16.35" customHeight="1" spans="1:13">
      <c r="A10" s="6">
        <v>8</v>
      </c>
      <c r="B10" s="6" t="s">
        <v>75</v>
      </c>
      <c r="C10" s="11" t="s">
        <v>76</v>
      </c>
      <c r="D10" s="11">
        <v>96</v>
      </c>
      <c r="E10" s="11">
        <v>93</v>
      </c>
      <c r="F10" s="11">
        <v>96</v>
      </c>
      <c r="G10" s="11">
        <f t="shared" si="0"/>
        <v>95</v>
      </c>
      <c r="H10" s="11">
        <v>90</v>
      </c>
      <c r="I10" s="11">
        <v>89</v>
      </c>
      <c r="J10" s="11">
        <v>92</v>
      </c>
      <c r="K10" s="11">
        <f t="shared" si="1"/>
        <v>90</v>
      </c>
      <c r="M10">
        <f t="shared" si="2"/>
        <v>90</v>
      </c>
    </row>
    <row r="11" customFormat="1" ht="16.35" customHeight="1" spans="1:13">
      <c r="A11" s="6">
        <v>9</v>
      </c>
      <c r="B11" s="6" t="s">
        <v>77</v>
      </c>
      <c r="C11" s="11" t="s">
        <v>78</v>
      </c>
      <c r="D11" s="11">
        <v>95</v>
      </c>
      <c r="E11" s="11">
        <v>93</v>
      </c>
      <c r="F11" s="11">
        <v>95</v>
      </c>
      <c r="G11" s="11">
        <f t="shared" si="0"/>
        <v>94</v>
      </c>
      <c r="H11" s="11">
        <v>91</v>
      </c>
      <c r="I11" s="11">
        <v>94</v>
      </c>
      <c r="J11" s="11">
        <v>94</v>
      </c>
      <c r="K11" s="11">
        <f t="shared" si="1"/>
        <v>93</v>
      </c>
      <c r="M11">
        <f t="shared" si="2"/>
        <v>90</v>
      </c>
    </row>
    <row r="12" customFormat="1" ht="16.35" customHeight="1" spans="1:13">
      <c r="A12" s="6">
        <v>10</v>
      </c>
      <c r="B12" s="6" t="s">
        <v>79</v>
      </c>
      <c r="C12" s="11" t="s">
        <v>80</v>
      </c>
      <c r="D12" s="11">
        <v>69</v>
      </c>
      <c r="E12" s="11">
        <v>92</v>
      </c>
      <c r="F12" s="11">
        <v>82</v>
      </c>
      <c r="G12" s="11">
        <f t="shared" si="0"/>
        <v>81</v>
      </c>
      <c r="H12" s="11">
        <v>85</v>
      </c>
      <c r="I12" s="11">
        <v>90</v>
      </c>
      <c r="J12" s="11">
        <v>91</v>
      </c>
      <c r="K12" s="11">
        <f t="shared" si="1"/>
        <v>89</v>
      </c>
      <c r="M12">
        <f t="shared" si="2"/>
        <v>89</v>
      </c>
    </row>
    <row r="13" customFormat="1" ht="16.35" customHeight="1" spans="1:13">
      <c r="A13" s="6">
        <v>11</v>
      </c>
      <c r="B13" s="6" t="s">
        <v>81</v>
      </c>
      <c r="C13" s="11" t="s">
        <v>82</v>
      </c>
      <c r="D13" s="11">
        <v>95</v>
      </c>
      <c r="E13" s="11">
        <v>94</v>
      </c>
      <c r="F13" s="11">
        <v>96</v>
      </c>
      <c r="G13" s="11">
        <f t="shared" si="0"/>
        <v>95</v>
      </c>
      <c r="H13" s="11">
        <v>94</v>
      </c>
      <c r="I13" s="11">
        <v>92</v>
      </c>
      <c r="J13" s="11">
        <v>92</v>
      </c>
      <c r="K13" s="11">
        <f t="shared" si="1"/>
        <v>93</v>
      </c>
      <c r="M13">
        <f t="shared" si="2"/>
        <v>91</v>
      </c>
    </row>
    <row r="14" customFormat="1" ht="16.35" customHeight="1" spans="1:13">
      <c r="A14" s="6">
        <v>12</v>
      </c>
      <c r="B14" s="6" t="s">
        <v>83</v>
      </c>
      <c r="C14" s="11" t="s">
        <v>84</v>
      </c>
      <c r="D14" s="11">
        <v>92</v>
      </c>
      <c r="E14" s="11">
        <v>87</v>
      </c>
      <c r="F14" s="11">
        <v>90</v>
      </c>
      <c r="G14" s="11">
        <f t="shared" si="0"/>
        <v>90</v>
      </c>
      <c r="H14" s="11">
        <v>89</v>
      </c>
      <c r="I14" s="11">
        <v>90</v>
      </c>
      <c r="J14" s="11">
        <v>92</v>
      </c>
      <c r="K14" s="11">
        <f t="shared" si="1"/>
        <v>90</v>
      </c>
      <c r="M14">
        <f t="shared" si="2"/>
        <v>84</v>
      </c>
    </row>
    <row r="15" customFormat="1" ht="16.35" customHeight="1" spans="1:13">
      <c r="A15" s="6">
        <v>13</v>
      </c>
      <c r="B15" s="6" t="s">
        <v>85</v>
      </c>
      <c r="C15" s="11" t="s">
        <v>86</v>
      </c>
      <c r="D15" s="11">
        <v>95</v>
      </c>
      <c r="E15" s="11">
        <v>84</v>
      </c>
      <c r="F15" s="11">
        <v>92</v>
      </c>
      <c r="G15" s="11">
        <f t="shared" si="0"/>
        <v>90</v>
      </c>
      <c r="H15" s="11">
        <v>86</v>
      </c>
      <c r="I15" s="11">
        <v>89</v>
      </c>
      <c r="J15" s="11">
        <v>90</v>
      </c>
      <c r="K15" s="11">
        <f t="shared" si="1"/>
        <v>88</v>
      </c>
      <c r="M15">
        <f t="shared" si="2"/>
        <v>81</v>
      </c>
    </row>
    <row r="16" customFormat="1" ht="16.35" customHeight="1" spans="1:13">
      <c r="A16" s="6">
        <v>14</v>
      </c>
      <c r="B16" s="6" t="s">
        <v>87</v>
      </c>
      <c r="C16" s="11" t="s">
        <v>88</v>
      </c>
      <c r="D16" s="11">
        <v>73</v>
      </c>
      <c r="E16" s="11">
        <v>90</v>
      </c>
      <c r="F16" s="11">
        <v>92</v>
      </c>
      <c r="G16" s="11">
        <f t="shared" si="0"/>
        <v>85</v>
      </c>
      <c r="H16" s="11">
        <v>87</v>
      </c>
      <c r="I16" s="11">
        <v>87</v>
      </c>
      <c r="J16" s="11">
        <v>88</v>
      </c>
      <c r="K16" s="11">
        <f t="shared" si="1"/>
        <v>87</v>
      </c>
      <c r="M16">
        <f t="shared" si="2"/>
        <v>87</v>
      </c>
    </row>
    <row r="17" customFormat="1" ht="16.35" customHeight="1" spans="1:13">
      <c r="A17" s="6">
        <v>15</v>
      </c>
      <c r="B17" s="6" t="s">
        <v>89</v>
      </c>
      <c r="C17" s="11" t="s">
        <v>90</v>
      </c>
      <c r="D17" s="11">
        <v>95</v>
      </c>
      <c r="E17" s="11">
        <v>93</v>
      </c>
      <c r="F17" s="11">
        <v>98</v>
      </c>
      <c r="G17" s="11">
        <f t="shared" si="0"/>
        <v>95</v>
      </c>
      <c r="H17" s="11">
        <v>94</v>
      </c>
      <c r="I17" s="11">
        <v>94</v>
      </c>
      <c r="J17" s="11">
        <v>91</v>
      </c>
      <c r="K17" s="11">
        <f t="shared" si="1"/>
        <v>93</v>
      </c>
      <c r="M17">
        <f t="shared" si="2"/>
        <v>90</v>
      </c>
    </row>
    <row r="18" customFormat="1" ht="16.35" customHeight="1" spans="1:13">
      <c r="A18" s="6">
        <v>16</v>
      </c>
      <c r="B18" s="6" t="s">
        <v>91</v>
      </c>
      <c r="C18" s="11" t="s">
        <v>92</v>
      </c>
      <c r="D18" s="11">
        <v>86</v>
      </c>
      <c r="E18" s="11">
        <v>89</v>
      </c>
      <c r="F18" s="11">
        <v>97</v>
      </c>
      <c r="G18" s="11">
        <f t="shared" si="0"/>
        <v>91</v>
      </c>
      <c r="H18" s="11">
        <v>95</v>
      </c>
      <c r="I18" s="11">
        <v>90</v>
      </c>
      <c r="J18" s="11">
        <v>91</v>
      </c>
      <c r="K18" s="11">
        <f t="shared" si="1"/>
        <v>92</v>
      </c>
      <c r="M18">
        <f t="shared" si="2"/>
        <v>86</v>
      </c>
    </row>
    <row r="19" customFormat="1" ht="16.35" customHeight="1" spans="1:13">
      <c r="A19" s="6">
        <v>17</v>
      </c>
      <c r="B19" s="6" t="s">
        <v>93</v>
      </c>
      <c r="C19" s="11" t="s">
        <v>94</v>
      </c>
      <c r="D19" s="11">
        <v>97</v>
      </c>
      <c r="E19" s="11">
        <v>91</v>
      </c>
      <c r="F19" s="11">
        <v>96</v>
      </c>
      <c r="G19" s="11">
        <f t="shared" si="0"/>
        <v>95</v>
      </c>
      <c r="H19" s="11">
        <v>89</v>
      </c>
      <c r="I19" s="11">
        <v>92</v>
      </c>
      <c r="J19" s="11">
        <v>90</v>
      </c>
      <c r="K19" s="11">
        <f t="shared" si="1"/>
        <v>90</v>
      </c>
      <c r="M19">
        <f t="shared" si="2"/>
        <v>88</v>
      </c>
    </row>
    <row r="20" customFormat="1" ht="16.35" customHeight="1" spans="1:13">
      <c r="A20" s="6">
        <v>18</v>
      </c>
      <c r="B20" s="6" t="s">
        <v>95</v>
      </c>
      <c r="C20" s="11" t="s">
        <v>96</v>
      </c>
      <c r="D20" s="11">
        <v>92</v>
      </c>
      <c r="E20" s="11">
        <v>95</v>
      </c>
      <c r="F20" s="11">
        <v>92</v>
      </c>
      <c r="G20" s="11">
        <f t="shared" si="0"/>
        <v>93</v>
      </c>
      <c r="H20" s="11">
        <v>90</v>
      </c>
      <c r="I20" s="11">
        <v>90</v>
      </c>
      <c r="J20" s="11">
        <v>89</v>
      </c>
      <c r="K20" s="11">
        <f t="shared" si="1"/>
        <v>90</v>
      </c>
      <c r="M20">
        <f t="shared" si="2"/>
        <v>92</v>
      </c>
    </row>
    <row r="21" customFormat="1" ht="16.35" customHeight="1" spans="1:13">
      <c r="A21" s="6">
        <v>19</v>
      </c>
      <c r="B21" s="6" t="s">
        <v>97</v>
      </c>
      <c r="C21" s="11" t="s">
        <v>98</v>
      </c>
      <c r="D21" s="11">
        <v>88</v>
      </c>
      <c r="E21" s="11">
        <v>93</v>
      </c>
      <c r="F21" s="11">
        <v>97</v>
      </c>
      <c r="G21" s="11">
        <f t="shared" si="0"/>
        <v>93</v>
      </c>
      <c r="H21" s="11">
        <v>89</v>
      </c>
      <c r="I21" s="11">
        <v>82</v>
      </c>
      <c r="J21" s="11">
        <v>85</v>
      </c>
      <c r="K21" s="11">
        <f t="shared" si="1"/>
        <v>85</v>
      </c>
      <c r="M21">
        <f t="shared" si="2"/>
        <v>90</v>
      </c>
    </row>
    <row r="22" customFormat="1" ht="16.35" customHeight="1" spans="1:13">
      <c r="A22" s="6">
        <v>20</v>
      </c>
      <c r="B22" s="6" t="s">
        <v>99</v>
      </c>
      <c r="C22" s="11" t="s">
        <v>100</v>
      </c>
      <c r="D22" s="11">
        <v>94</v>
      </c>
      <c r="E22" s="11">
        <v>97</v>
      </c>
      <c r="F22" s="11">
        <v>91</v>
      </c>
      <c r="G22" s="11">
        <f t="shared" si="0"/>
        <v>94</v>
      </c>
      <c r="H22" s="11">
        <v>90</v>
      </c>
      <c r="I22" s="11">
        <v>93</v>
      </c>
      <c r="J22" s="11">
        <v>92</v>
      </c>
      <c r="K22" s="11">
        <f t="shared" si="1"/>
        <v>92</v>
      </c>
      <c r="M22">
        <f t="shared" si="2"/>
        <v>94</v>
      </c>
    </row>
    <row r="23" customFormat="1" ht="25" customHeight="1" spans="1:13">
      <c r="A23" s="6">
        <v>21</v>
      </c>
      <c r="B23" s="6" t="s">
        <v>101</v>
      </c>
      <c r="C23" s="11" t="s">
        <v>102</v>
      </c>
      <c r="D23" s="11">
        <v>41</v>
      </c>
      <c r="E23" s="11">
        <v>87</v>
      </c>
      <c r="F23" s="11">
        <v>71</v>
      </c>
      <c r="G23" s="11">
        <f t="shared" si="0"/>
        <v>66</v>
      </c>
      <c r="H23" s="11">
        <v>81</v>
      </c>
      <c r="I23" s="11">
        <v>80</v>
      </c>
      <c r="J23" s="11">
        <v>81</v>
      </c>
      <c r="K23" s="11">
        <f t="shared" si="1"/>
        <v>81</v>
      </c>
      <c r="M23">
        <f t="shared" si="2"/>
        <v>84</v>
      </c>
    </row>
    <row r="24" spans="1:13">
      <c r="D24" s="7">
        <f>AVERAGE(D3:D23)</f>
        <v>86.5714285714286</v>
      </c>
      <c r="E24" s="7">
        <f t="shared" ref="E24:K24" si="3">AVERAGE(E3:E23)</f>
        <v>91.2857142857143</v>
      </c>
      <c r="F24" s="7">
        <f t="shared" si="3"/>
        <v>91.1904761904762</v>
      </c>
      <c r="G24" s="7">
        <f t="shared" si="3"/>
        <v>89.7142857142857</v>
      </c>
      <c r="H24" s="7">
        <f t="shared" si="3"/>
        <v>88.7142857142857</v>
      </c>
      <c r="I24" s="7">
        <f t="shared" si="3"/>
        <v>89.1904761904762</v>
      </c>
      <c r="J24" s="7">
        <f t="shared" si="3"/>
        <v>89.6666666666667</v>
      </c>
      <c r="K24" s="7">
        <f t="shared" si="3"/>
        <v>89.1428571428571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zoomScale="130" zoomScaleNormal="130" workbookViewId="0">
      <selection activeCell="P19" sqref="P19"/>
    </sheetView>
  </sheetViews>
  <sheetFormatPr defaultColWidth="9" defaultRowHeight="14"/>
  <cols>
    <col min="1" max="1" width="4.22727272727273" customWidth="1"/>
    <col min="2" max="3" width="11.4363636363636" customWidth="1"/>
    <col min="4" max="4" width="8.45454545454546" customWidth="1"/>
    <col min="5" max="5" width="12.4454545454545" customWidth="1"/>
    <col min="6" max="6" width="11.1818181818182" customWidth="1"/>
    <col min="8" max="8" width="12.6272727272727"/>
    <col min="9" max="9" width="7.78181818181818" customWidth="1"/>
    <col min="10" max="10" width="11.8818181818182" customWidth="1"/>
    <col min="11" max="11" width="7.97272727272727" customWidth="1"/>
    <col min="14" max="14" width="9" style="2"/>
  </cols>
  <sheetData>
    <row r="1" s="1" customFormat="1" ht="9.5" spans="1:14">
      <c r="A1" s="3" t="s">
        <v>0</v>
      </c>
      <c r="B1" s="3" t="s">
        <v>103</v>
      </c>
      <c r="C1" s="3" t="s">
        <v>1</v>
      </c>
      <c r="D1" s="3" t="s">
        <v>2</v>
      </c>
      <c r="E1" s="4" t="s">
        <v>3</v>
      </c>
      <c r="F1" s="4" t="s">
        <v>5</v>
      </c>
      <c r="G1" s="4" t="s">
        <v>4</v>
      </c>
      <c r="H1" s="4" t="s">
        <v>6</v>
      </c>
      <c r="I1" s="4" t="s">
        <v>8</v>
      </c>
      <c r="J1" s="4" t="s">
        <v>9</v>
      </c>
      <c r="K1" s="4" t="s">
        <v>7</v>
      </c>
      <c r="L1" s="4" t="s">
        <v>10</v>
      </c>
      <c r="M1" s="1" t="s">
        <v>104</v>
      </c>
      <c r="N1" s="5" t="s">
        <v>105</v>
      </c>
    </row>
    <row r="2" ht="16.35" customHeight="1" spans="1:14">
      <c r="A2" s="6">
        <v>1</v>
      </c>
      <c r="B2" s="6" t="s">
        <v>106</v>
      </c>
      <c r="C2" s="6" t="s">
        <v>107</v>
      </c>
      <c r="D2" s="6" t="s">
        <v>108</v>
      </c>
      <c r="E2" s="6">
        <v>96</v>
      </c>
      <c r="F2" s="6">
        <v>96</v>
      </c>
      <c r="G2" s="6">
        <v>90</v>
      </c>
      <c r="H2" s="6">
        <f>ROUND(AVERAGE(E2:G2),0)</f>
        <v>94</v>
      </c>
      <c r="I2" s="6">
        <v>92</v>
      </c>
      <c r="J2" s="6">
        <v>90</v>
      </c>
      <c r="K2" s="6">
        <v>90</v>
      </c>
      <c r="L2" s="6">
        <f>ROUND(AVERAGE(I2:K2),0)</f>
        <v>91</v>
      </c>
      <c r="M2">
        <v>95</v>
      </c>
      <c r="N2" s="2">
        <f>0.25*H2+0.25*L2+0.5*M2</f>
        <v>93.75</v>
      </c>
    </row>
    <row r="3" ht="16.35" customHeight="1" spans="1:14">
      <c r="A3" s="6">
        <v>2</v>
      </c>
      <c r="B3" s="6" t="s">
        <v>106</v>
      </c>
      <c r="C3" s="6" t="s">
        <v>109</v>
      </c>
      <c r="D3" s="6" t="s">
        <v>110</v>
      </c>
      <c r="E3" s="6">
        <v>90</v>
      </c>
      <c r="F3" s="6">
        <v>98</v>
      </c>
      <c r="G3" s="6">
        <v>96</v>
      </c>
      <c r="H3" s="6">
        <f t="shared" ref="H3:H23" si="0">ROUND(AVERAGE(E3:G3),0)</f>
        <v>95</v>
      </c>
      <c r="I3" s="6">
        <v>89</v>
      </c>
      <c r="J3" s="6">
        <v>89</v>
      </c>
      <c r="K3" s="6">
        <v>88</v>
      </c>
      <c r="L3" s="6">
        <f t="shared" ref="L3:L23" si="1">ROUND(AVERAGE(I3:K3),0)</f>
        <v>89</v>
      </c>
      <c r="M3">
        <v>90</v>
      </c>
      <c r="N3" s="2">
        <f t="shared" ref="N3:N23" si="2">0.25*H3+0.25*L3+0.5*M3</f>
        <v>91</v>
      </c>
    </row>
    <row r="4" ht="16.35" customHeight="1" spans="1:14">
      <c r="A4" s="6">
        <v>3</v>
      </c>
      <c r="B4" s="6" t="s">
        <v>106</v>
      </c>
      <c r="C4" s="6" t="s">
        <v>111</v>
      </c>
      <c r="D4" s="6" t="s">
        <v>112</v>
      </c>
      <c r="E4" s="6">
        <v>69</v>
      </c>
      <c r="F4" s="6">
        <v>94</v>
      </c>
      <c r="G4" s="6">
        <v>90</v>
      </c>
      <c r="H4" s="6">
        <f t="shared" si="0"/>
        <v>84</v>
      </c>
      <c r="I4" s="6">
        <v>90</v>
      </c>
      <c r="J4" s="6">
        <v>90</v>
      </c>
      <c r="K4" s="6">
        <v>91</v>
      </c>
      <c r="L4" s="6">
        <f t="shared" si="1"/>
        <v>90</v>
      </c>
      <c r="M4">
        <v>85</v>
      </c>
      <c r="N4" s="2">
        <f t="shared" si="2"/>
        <v>86</v>
      </c>
    </row>
    <row r="5" ht="16.35" customHeight="1" spans="1:14">
      <c r="A5" s="6">
        <v>4</v>
      </c>
      <c r="B5" s="6" t="s">
        <v>106</v>
      </c>
      <c r="C5" s="6" t="s">
        <v>113</v>
      </c>
      <c r="D5" s="6" t="s">
        <v>114</v>
      </c>
      <c r="E5" s="6">
        <v>96</v>
      </c>
      <c r="F5" s="6">
        <v>93</v>
      </c>
      <c r="G5" s="6">
        <v>96</v>
      </c>
      <c r="H5" s="6">
        <f t="shared" si="0"/>
        <v>95</v>
      </c>
      <c r="I5" s="6">
        <v>89</v>
      </c>
      <c r="J5" s="6">
        <v>90</v>
      </c>
      <c r="K5" s="6">
        <v>89</v>
      </c>
      <c r="L5" s="6">
        <f t="shared" si="1"/>
        <v>89</v>
      </c>
      <c r="M5">
        <v>84</v>
      </c>
      <c r="N5" s="2">
        <f t="shared" si="2"/>
        <v>88</v>
      </c>
    </row>
    <row r="6" ht="16.35" customHeight="1" spans="1:14">
      <c r="A6" s="6">
        <v>5</v>
      </c>
      <c r="B6" s="6" t="s">
        <v>106</v>
      </c>
      <c r="C6" s="6" t="s">
        <v>115</v>
      </c>
      <c r="D6" s="6" t="s">
        <v>116</v>
      </c>
      <c r="E6" s="6">
        <v>91</v>
      </c>
      <c r="F6" s="6">
        <v>96</v>
      </c>
      <c r="G6" s="6">
        <v>95</v>
      </c>
      <c r="H6" s="6">
        <f t="shared" si="0"/>
        <v>94</v>
      </c>
      <c r="I6" s="6">
        <v>88</v>
      </c>
      <c r="J6" s="6">
        <v>88</v>
      </c>
      <c r="K6" s="6">
        <v>87</v>
      </c>
      <c r="L6" s="6">
        <f t="shared" si="1"/>
        <v>88</v>
      </c>
      <c r="M6">
        <v>80</v>
      </c>
      <c r="N6" s="2">
        <f t="shared" si="2"/>
        <v>85.5</v>
      </c>
    </row>
    <row r="7" ht="16.35" customHeight="1" spans="1:14">
      <c r="A7" s="6">
        <v>6</v>
      </c>
      <c r="B7" s="6" t="s">
        <v>106</v>
      </c>
      <c r="C7" s="6" t="s">
        <v>117</v>
      </c>
      <c r="D7" s="6" t="s">
        <v>118</v>
      </c>
      <c r="E7" s="6">
        <v>66</v>
      </c>
      <c r="F7" s="6">
        <v>97</v>
      </c>
      <c r="G7" s="6">
        <v>94</v>
      </c>
      <c r="H7" s="6">
        <f t="shared" si="0"/>
        <v>86</v>
      </c>
      <c r="I7" s="6">
        <v>84</v>
      </c>
      <c r="J7" s="6">
        <v>86</v>
      </c>
      <c r="K7" s="6">
        <v>87</v>
      </c>
      <c r="L7" s="6">
        <f t="shared" si="1"/>
        <v>86</v>
      </c>
      <c r="M7">
        <v>68</v>
      </c>
      <c r="N7" s="2">
        <f t="shared" si="2"/>
        <v>77</v>
      </c>
    </row>
    <row r="8" ht="16.35" customHeight="1" spans="1:14">
      <c r="A8" s="6">
        <v>7</v>
      </c>
      <c r="B8" s="6" t="s">
        <v>106</v>
      </c>
      <c r="C8" s="19" t="s">
        <v>119</v>
      </c>
      <c r="D8" s="6" t="s">
        <v>120</v>
      </c>
      <c r="E8" s="6">
        <v>81</v>
      </c>
      <c r="F8" s="6">
        <v>96</v>
      </c>
      <c r="G8" s="6">
        <v>89</v>
      </c>
      <c r="H8" s="6">
        <f t="shared" si="0"/>
        <v>89</v>
      </c>
      <c r="I8" s="6">
        <v>90</v>
      </c>
      <c r="J8" s="6">
        <v>92</v>
      </c>
      <c r="K8" s="6">
        <v>91</v>
      </c>
      <c r="L8" s="6">
        <f t="shared" si="1"/>
        <v>91</v>
      </c>
      <c r="M8">
        <v>85</v>
      </c>
      <c r="N8" s="2">
        <f t="shared" si="2"/>
        <v>87.5</v>
      </c>
    </row>
    <row r="9" ht="16.35" customHeight="1" spans="1:14">
      <c r="A9" s="6">
        <v>8</v>
      </c>
      <c r="B9" s="6" t="s">
        <v>106</v>
      </c>
      <c r="C9" s="6" t="s">
        <v>121</v>
      </c>
      <c r="D9" s="6" t="s">
        <v>122</v>
      </c>
      <c r="E9" s="6">
        <v>53</v>
      </c>
      <c r="F9" s="6">
        <v>94</v>
      </c>
      <c r="G9" s="6">
        <v>84</v>
      </c>
      <c r="H9" s="6">
        <f t="shared" si="0"/>
        <v>77</v>
      </c>
      <c r="I9" s="6">
        <v>91</v>
      </c>
      <c r="J9" s="6">
        <v>88</v>
      </c>
      <c r="K9" s="6">
        <v>89</v>
      </c>
      <c r="L9" s="6">
        <f t="shared" si="1"/>
        <v>89</v>
      </c>
      <c r="M9">
        <v>61</v>
      </c>
      <c r="N9" s="2">
        <f t="shared" si="2"/>
        <v>72</v>
      </c>
    </row>
    <row r="10" ht="16.35" customHeight="1" spans="1:14">
      <c r="A10" s="6">
        <v>9</v>
      </c>
      <c r="B10" s="6" t="s">
        <v>106</v>
      </c>
      <c r="C10" s="6" t="s">
        <v>123</v>
      </c>
      <c r="D10" s="6" t="s">
        <v>124</v>
      </c>
      <c r="E10" s="6">
        <v>72</v>
      </c>
      <c r="F10" s="6">
        <v>91</v>
      </c>
      <c r="G10" s="6">
        <v>88</v>
      </c>
      <c r="H10" s="6">
        <f t="shared" si="0"/>
        <v>84</v>
      </c>
      <c r="I10" s="6">
        <v>83</v>
      </c>
      <c r="J10" s="6">
        <v>90</v>
      </c>
      <c r="K10" s="6">
        <v>90</v>
      </c>
      <c r="L10" s="6">
        <f t="shared" si="1"/>
        <v>88</v>
      </c>
      <c r="M10">
        <v>79</v>
      </c>
      <c r="N10" s="2">
        <f t="shared" si="2"/>
        <v>82.5</v>
      </c>
    </row>
    <row r="11" ht="16.35" customHeight="1" spans="1:14">
      <c r="A11" s="6">
        <v>10</v>
      </c>
      <c r="B11" s="6" t="s">
        <v>106</v>
      </c>
      <c r="C11" s="6" t="s">
        <v>125</v>
      </c>
      <c r="D11" s="6" t="s">
        <v>126</v>
      </c>
      <c r="E11" s="6">
        <v>74</v>
      </c>
      <c r="F11" s="6">
        <v>92</v>
      </c>
      <c r="G11" s="6">
        <v>95</v>
      </c>
      <c r="H11" s="6">
        <f t="shared" si="0"/>
        <v>87</v>
      </c>
      <c r="I11" s="6">
        <v>89</v>
      </c>
      <c r="J11" s="6">
        <v>89</v>
      </c>
      <c r="K11" s="6">
        <v>88</v>
      </c>
      <c r="L11" s="6">
        <f t="shared" si="1"/>
        <v>89</v>
      </c>
      <c r="M11">
        <v>75</v>
      </c>
      <c r="N11" s="2">
        <f t="shared" si="2"/>
        <v>81.5</v>
      </c>
    </row>
    <row r="12" ht="16.35" customHeight="1" spans="1:14">
      <c r="A12" s="6">
        <v>11</v>
      </c>
      <c r="B12" s="6" t="s">
        <v>106</v>
      </c>
      <c r="C12" s="6" t="s">
        <v>127</v>
      </c>
      <c r="D12" s="6" t="s">
        <v>128</v>
      </c>
      <c r="E12" s="6">
        <v>86</v>
      </c>
      <c r="F12" s="6">
        <v>92</v>
      </c>
      <c r="G12" s="6">
        <v>87</v>
      </c>
      <c r="H12" s="6">
        <f t="shared" si="0"/>
        <v>88</v>
      </c>
      <c r="I12" s="6">
        <v>87</v>
      </c>
      <c r="J12" s="6">
        <v>86</v>
      </c>
      <c r="K12" s="6">
        <v>87</v>
      </c>
      <c r="L12" s="6">
        <f t="shared" si="1"/>
        <v>87</v>
      </c>
      <c r="M12">
        <v>82</v>
      </c>
      <c r="N12" s="2">
        <f t="shared" si="2"/>
        <v>84.75</v>
      </c>
    </row>
    <row r="13" ht="16.35" customHeight="1" spans="1:14">
      <c r="A13" s="6">
        <v>12</v>
      </c>
      <c r="B13" s="6" t="s">
        <v>106</v>
      </c>
      <c r="C13" s="6" t="s">
        <v>129</v>
      </c>
      <c r="D13" s="6" t="s">
        <v>130</v>
      </c>
      <c r="E13" s="6">
        <v>62</v>
      </c>
      <c r="F13" s="6">
        <v>96</v>
      </c>
      <c r="G13" s="6">
        <v>89</v>
      </c>
      <c r="H13" s="6">
        <f t="shared" si="0"/>
        <v>82</v>
      </c>
      <c r="I13" s="6">
        <v>95</v>
      </c>
      <c r="J13" s="6">
        <v>90</v>
      </c>
      <c r="K13" s="6">
        <v>91</v>
      </c>
      <c r="L13" s="6">
        <f t="shared" si="1"/>
        <v>92</v>
      </c>
      <c r="M13">
        <v>78</v>
      </c>
      <c r="N13" s="2">
        <f t="shared" si="2"/>
        <v>82.5</v>
      </c>
    </row>
    <row r="14" ht="16.35" customHeight="1" spans="1:14">
      <c r="A14" s="6">
        <v>13</v>
      </c>
      <c r="B14" s="6" t="s">
        <v>106</v>
      </c>
      <c r="C14" s="6" t="s">
        <v>131</v>
      </c>
      <c r="D14" s="6" t="s">
        <v>132</v>
      </c>
      <c r="E14" s="6">
        <v>81</v>
      </c>
      <c r="F14" s="6">
        <v>92</v>
      </c>
      <c r="G14" s="6">
        <v>94</v>
      </c>
      <c r="H14" s="6">
        <f t="shared" si="0"/>
        <v>89</v>
      </c>
      <c r="I14" s="6">
        <v>84</v>
      </c>
      <c r="J14" s="6">
        <v>88</v>
      </c>
      <c r="K14" s="6">
        <v>87</v>
      </c>
      <c r="L14" s="6">
        <f t="shared" si="1"/>
        <v>86</v>
      </c>
      <c r="M14">
        <v>85</v>
      </c>
      <c r="N14" s="2">
        <f t="shared" si="2"/>
        <v>86.25</v>
      </c>
    </row>
    <row r="15" ht="16.35" customHeight="1" spans="1:14">
      <c r="A15" s="6">
        <v>14</v>
      </c>
      <c r="B15" s="6" t="s">
        <v>106</v>
      </c>
      <c r="C15" s="6" t="s">
        <v>133</v>
      </c>
      <c r="D15" s="6" t="s">
        <v>134</v>
      </c>
      <c r="E15" s="6">
        <v>63</v>
      </c>
      <c r="F15" s="6">
        <v>94</v>
      </c>
      <c r="G15" s="6">
        <v>85</v>
      </c>
      <c r="H15" s="6">
        <f t="shared" si="0"/>
        <v>81</v>
      </c>
      <c r="I15" s="6">
        <v>83</v>
      </c>
      <c r="J15" s="6">
        <v>90</v>
      </c>
      <c r="K15" s="6">
        <v>90</v>
      </c>
      <c r="L15" s="6">
        <f t="shared" si="1"/>
        <v>88</v>
      </c>
      <c r="M15">
        <v>86</v>
      </c>
      <c r="N15" s="2">
        <f t="shared" si="2"/>
        <v>85.25</v>
      </c>
    </row>
    <row r="16" ht="16.35" customHeight="1" spans="1:14">
      <c r="A16" s="6">
        <v>15</v>
      </c>
      <c r="B16" s="6" t="s">
        <v>106</v>
      </c>
      <c r="C16" s="6" t="s">
        <v>135</v>
      </c>
      <c r="D16" s="6" t="s">
        <v>136</v>
      </c>
      <c r="E16" s="6">
        <v>85</v>
      </c>
      <c r="F16" s="6">
        <v>96</v>
      </c>
      <c r="G16" s="6">
        <v>91</v>
      </c>
      <c r="H16" s="6">
        <f t="shared" si="0"/>
        <v>91</v>
      </c>
      <c r="I16" s="6">
        <v>91</v>
      </c>
      <c r="J16" s="6">
        <v>88</v>
      </c>
      <c r="K16" s="6">
        <v>89</v>
      </c>
      <c r="L16" s="6">
        <f t="shared" si="1"/>
        <v>89</v>
      </c>
      <c r="M16">
        <v>81</v>
      </c>
      <c r="N16" s="2">
        <f t="shared" si="2"/>
        <v>85.5</v>
      </c>
    </row>
    <row r="17" ht="16.35" customHeight="1" spans="1:14">
      <c r="A17" s="6">
        <v>16</v>
      </c>
      <c r="B17" s="6" t="s">
        <v>106</v>
      </c>
      <c r="C17" s="6" t="s">
        <v>137</v>
      </c>
      <c r="D17" s="6" t="s">
        <v>138</v>
      </c>
      <c r="E17" s="6">
        <v>47</v>
      </c>
      <c r="F17" s="6">
        <v>97</v>
      </c>
      <c r="G17" s="6">
        <v>92</v>
      </c>
      <c r="H17" s="6">
        <f t="shared" si="0"/>
        <v>79</v>
      </c>
      <c r="I17" s="6">
        <v>84</v>
      </c>
      <c r="J17" s="6">
        <v>90</v>
      </c>
      <c r="K17" s="6">
        <v>90</v>
      </c>
      <c r="L17" s="6">
        <f t="shared" si="1"/>
        <v>88</v>
      </c>
      <c r="M17">
        <v>75</v>
      </c>
      <c r="N17" s="2">
        <f t="shared" si="2"/>
        <v>79.25</v>
      </c>
    </row>
    <row r="18" ht="16.35" customHeight="1" spans="1:14">
      <c r="A18" s="6">
        <v>17</v>
      </c>
      <c r="B18" s="6" t="s">
        <v>106</v>
      </c>
      <c r="C18" s="6" t="s">
        <v>139</v>
      </c>
      <c r="D18" s="6" t="s">
        <v>140</v>
      </c>
      <c r="E18" s="6">
        <v>95</v>
      </c>
      <c r="F18" s="6">
        <v>97</v>
      </c>
      <c r="G18" s="6">
        <v>94</v>
      </c>
      <c r="H18" s="6">
        <f t="shared" si="0"/>
        <v>95</v>
      </c>
      <c r="I18" s="6">
        <v>92</v>
      </c>
      <c r="J18" s="6">
        <v>89</v>
      </c>
      <c r="K18" s="6">
        <v>90</v>
      </c>
      <c r="L18" s="6">
        <f t="shared" si="1"/>
        <v>90</v>
      </c>
      <c r="M18">
        <v>92</v>
      </c>
      <c r="N18" s="2">
        <f t="shared" si="2"/>
        <v>92.25</v>
      </c>
    </row>
    <row r="19" ht="16.35" customHeight="1" spans="1:14">
      <c r="A19" s="6">
        <v>18</v>
      </c>
      <c r="B19" s="6" t="s">
        <v>106</v>
      </c>
      <c r="C19" s="6" t="s">
        <v>141</v>
      </c>
      <c r="D19" s="6" t="s">
        <v>142</v>
      </c>
      <c r="E19" s="6">
        <v>95</v>
      </c>
      <c r="F19" s="6">
        <v>96</v>
      </c>
      <c r="G19" s="6">
        <v>88</v>
      </c>
      <c r="H19" s="6">
        <f t="shared" si="0"/>
        <v>93</v>
      </c>
      <c r="I19" s="6">
        <v>89</v>
      </c>
      <c r="J19" s="6">
        <v>89</v>
      </c>
      <c r="K19" s="6">
        <v>89</v>
      </c>
      <c r="L19" s="6">
        <f t="shared" si="1"/>
        <v>89</v>
      </c>
      <c r="M19">
        <v>89</v>
      </c>
      <c r="N19" s="2">
        <f t="shared" si="2"/>
        <v>90</v>
      </c>
    </row>
    <row r="20" ht="16.35" customHeight="1" spans="1:14">
      <c r="A20" s="6">
        <v>19</v>
      </c>
      <c r="B20" s="6" t="s">
        <v>106</v>
      </c>
      <c r="C20" s="6" t="s">
        <v>143</v>
      </c>
      <c r="D20" s="6" t="s">
        <v>144</v>
      </c>
      <c r="E20" s="6">
        <v>92</v>
      </c>
      <c r="F20" s="6">
        <v>92</v>
      </c>
      <c r="G20" s="6">
        <v>93</v>
      </c>
      <c r="H20" s="6">
        <f t="shared" si="0"/>
        <v>92</v>
      </c>
      <c r="I20" s="6">
        <v>90</v>
      </c>
      <c r="J20" s="6">
        <v>89</v>
      </c>
      <c r="K20" s="6">
        <v>88</v>
      </c>
      <c r="L20" s="6">
        <f t="shared" si="1"/>
        <v>89</v>
      </c>
      <c r="M20">
        <v>92</v>
      </c>
      <c r="N20" s="2">
        <f t="shared" si="2"/>
        <v>91.25</v>
      </c>
    </row>
    <row r="21" ht="16.35" customHeight="1" spans="1:14">
      <c r="A21" s="6">
        <v>20</v>
      </c>
      <c r="B21" s="6" t="s">
        <v>106</v>
      </c>
      <c r="C21" s="6" t="s">
        <v>145</v>
      </c>
      <c r="D21" s="6" t="s">
        <v>146</v>
      </c>
      <c r="E21" s="6">
        <v>74</v>
      </c>
      <c r="F21" s="6">
        <v>95</v>
      </c>
      <c r="G21" s="6">
        <v>87</v>
      </c>
      <c r="H21" s="6">
        <f t="shared" si="0"/>
        <v>85</v>
      </c>
      <c r="I21" s="6">
        <v>85</v>
      </c>
      <c r="J21" s="6">
        <v>87</v>
      </c>
      <c r="K21" s="6">
        <v>88</v>
      </c>
      <c r="L21" s="6">
        <f t="shared" si="1"/>
        <v>87</v>
      </c>
      <c r="M21">
        <v>80</v>
      </c>
      <c r="N21" s="2">
        <f t="shared" si="2"/>
        <v>83</v>
      </c>
    </row>
    <row r="22" ht="16.35" customHeight="1" spans="1:14">
      <c r="A22" s="6">
        <v>21</v>
      </c>
      <c r="B22" s="6" t="s">
        <v>106</v>
      </c>
      <c r="C22" s="6" t="s">
        <v>147</v>
      </c>
      <c r="D22" s="6" t="s">
        <v>148</v>
      </c>
      <c r="E22" s="6">
        <v>52</v>
      </c>
      <c r="F22" s="6">
        <v>90</v>
      </c>
      <c r="G22" s="6">
        <v>77</v>
      </c>
      <c r="H22" s="6">
        <f t="shared" si="0"/>
        <v>73</v>
      </c>
      <c r="I22" s="6">
        <v>82</v>
      </c>
      <c r="J22" s="6">
        <v>85</v>
      </c>
      <c r="K22" s="6">
        <v>87</v>
      </c>
      <c r="L22" s="6">
        <f t="shared" si="1"/>
        <v>85</v>
      </c>
      <c r="M22">
        <v>65</v>
      </c>
      <c r="N22" s="2">
        <f t="shared" si="2"/>
        <v>72</v>
      </c>
    </row>
    <row r="23" ht="16.35" customHeight="1" spans="1:14">
      <c r="A23" s="6">
        <v>22</v>
      </c>
      <c r="B23" s="6" t="s">
        <v>106</v>
      </c>
      <c r="C23" s="6" t="s">
        <v>149</v>
      </c>
      <c r="D23" s="6" t="s">
        <v>150</v>
      </c>
      <c r="E23" s="6">
        <v>73</v>
      </c>
      <c r="F23" s="6">
        <v>97</v>
      </c>
      <c r="G23" s="6">
        <v>94</v>
      </c>
      <c r="H23" s="6">
        <f t="shared" si="0"/>
        <v>88</v>
      </c>
      <c r="I23" s="6">
        <v>88</v>
      </c>
      <c r="J23" s="6">
        <v>86</v>
      </c>
      <c r="K23" s="6">
        <v>87</v>
      </c>
      <c r="L23" s="6">
        <f t="shared" si="1"/>
        <v>87</v>
      </c>
      <c r="M23">
        <v>80</v>
      </c>
      <c r="N23" s="2">
        <f t="shared" si="2"/>
        <v>83.75</v>
      </c>
    </row>
    <row r="24" spans="1:14">
      <c r="D24" s="7"/>
      <c r="E24" s="7"/>
      <c r="F24" s="7"/>
      <c r="G24" s="7"/>
      <c r="H24" s="7"/>
      <c r="I24" s="7"/>
      <c r="J24" s="7"/>
      <c r="K24" s="7"/>
      <c r="L24" s="7"/>
      <c r="M24" s="7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2026-07-12T06:20:36Z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